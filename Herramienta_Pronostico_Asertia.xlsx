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Pronóstico" sheetId="2" state="visible" r:id="rId2"/>
    <sheet xmlns:r="http://schemas.openxmlformats.org/officeDocument/2006/relationships" name="Totales" sheetId="3" state="visible" r:id="rId3"/>
    <sheet xmlns:r="http://schemas.openxmlformats.org/officeDocument/2006/relationships" name="Desempeño" sheetId="4" state="visible" r:id="rId4"/>
    <sheet xmlns:r="http://schemas.openxmlformats.org/officeDocument/2006/relationships" name="Parámetros" sheetId="5" state="visible" r:id="rId5"/>
  </sheets>
  <definedNames>
    <definedName name="_xlnm._FilterDatabase" localSheetId="1" hidden="1">'Pronóstico'!$A$1:$O$217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9" fontId="0" fillId="2" borderId="0" pivotButton="0" quotePrefix="0" xfId="0"/>
    <xf numFmtId="2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Herramienta de pronóstico de ventas — Asertia Comercial, línea Ferrero</t>
        </is>
      </c>
    </row>
    <row r="2">
      <c r="A2" s="2" t="inlineStr"/>
    </row>
    <row r="3">
      <c r="A3" s="2" t="inlineStr">
        <is>
          <t>Qué contiene: pronóstico mensual de unidades display de septiembre a noviembre de 2026 por agencia y marca (72 combinaciones por mes, 216 filas).</t>
        </is>
      </c>
    </row>
    <row r="4">
      <c r="A4" s="2" t="inlineStr">
        <is>
          <t>Modelo: Random Forest con rezago de 12 meses, reentrenado con los datos cerrados hasta agosto de 2026 (ver cuaderno de Colab).</t>
        </is>
      </c>
    </row>
    <row r="5">
      <c r="A5" s="2" t="inlineStr">
        <is>
          <t>Hojas: Parámetros (celdas amarillas editables), Pronóstico, Totales y Desempeño. Lo calculado con fórmulas se actualiza al cambiar los parámetros.</t>
        </is>
      </c>
    </row>
    <row r="6">
      <c r="A6" s="2" t="inlineStr">
        <is>
          <t>Alerta: la fila se marca «Revisar» cuando el pronóstico se aleja más del umbral de lo vendido el mismo mes de 2025. Revisarlas a mano antes de pedir.</t>
        </is>
      </c>
    </row>
    <row r="7">
      <c r="A7" s="2" t="inlineStr">
        <is>
          <t>Confiabilidad y método: salen del WAPE de la marca en la prueba (mayo a agosto de 2026). Conviene revisarlos cada trimestre.</t>
        </is>
      </c>
    </row>
    <row r="8">
      <c r="A8" s="2" t="inlineStr">
        <is>
          <t>Valor estimado: pronóstico × precio medio de venta por unidad display de 2026. No es costo de inventario ni margen.</t>
        </is>
      </c>
    </row>
    <row r="9">
      <c r="A9" s="2" t="inlineStr">
        <is>
          <t>Reentrenar al cerrar cada mes con la venta completa.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4" customWidth="1" min="4" max="4"/>
    <col width="14" customWidth="1" min="5" max="5"/>
    <col width="16" customWidth="1" min="6" max="6"/>
    <col width="13" customWidth="1" min="7" max="7"/>
    <col width="10" customWidth="1" min="8" max="8"/>
    <col width="11" customWidth="1" min="9" max="9"/>
    <col width="14" customWidth="1" min="10" max="10"/>
    <col width="14" customWidth="1" min="11" max="11"/>
    <col width="13" customWidth="1" min="12" max="12"/>
    <col width="40" customWidth="1" min="13" max="13"/>
    <col width="11" customWidth="1" min="14" max="14"/>
    <col width="16" customWidth="1" min="15" max="15"/>
  </cols>
  <sheetData>
    <row r="1" ht="32" customHeight="1">
      <c r="A1" s="3" t="inlineStr">
        <is>
          <t>Mes</t>
        </is>
      </c>
      <c r="B1" s="3" t="inlineStr">
        <is>
          <t>Agencia</t>
        </is>
      </c>
      <c r="C1" s="3" t="inlineStr">
        <is>
          <t>Marca</t>
        </is>
      </c>
      <c r="D1" s="3" t="inlineStr">
        <is>
          <t>Pronóstico (u.)</t>
        </is>
      </c>
      <c r="E1" s="3" t="inlineStr">
        <is>
          <t>Mismo mes 2025 (u.)</t>
        </is>
      </c>
      <c r="F1" s="3" t="inlineStr">
        <is>
          <t>Prom. 3 meses previos (u.)</t>
        </is>
      </c>
      <c r="G1" s="3" t="inlineStr">
        <is>
          <t>Variación vs 2025</t>
        </is>
      </c>
      <c r="H1" s="3" t="inlineStr">
        <is>
          <t>Alerta</t>
        </is>
      </c>
      <c r="I1" s="3" t="inlineStr">
        <is>
          <t>WAPE de la marca</t>
        </is>
      </c>
      <c r="J1" s="3" t="inlineStr">
        <is>
          <t>Banda inferior (u.)</t>
        </is>
      </c>
      <c r="K1" s="3" t="inlineStr">
        <is>
          <t>Banda superior (u.)</t>
        </is>
      </c>
      <c r="L1" s="3" t="inlineStr">
        <is>
          <t>Confiabilidad</t>
        </is>
      </c>
      <c r="M1" s="3" t="inlineStr">
        <is>
          <t>Método recomendado</t>
        </is>
      </c>
      <c r="N1" s="3" t="inlineStr">
        <is>
          <t>Precio (US$)</t>
        </is>
      </c>
      <c r="O1" s="3" t="inlineStr">
        <is>
          <t>Valor estimado (US$)</t>
        </is>
      </c>
    </row>
    <row r="2">
      <c r="A2" t="inlineStr">
        <is>
          <t>Septiembre 2026</t>
        </is>
      </c>
      <c r="B2" t="inlineStr">
        <is>
          <t>Ambato</t>
        </is>
      </c>
      <c r="C2" t="inlineStr">
        <is>
          <t>Hanuta</t>
        </is>
      </c>
      <c r="D2" s="4" t="n">
        <v>1726.2</v>
      </c>
      <c r="E2" s="4" t="n">
        <v>2366</v>
      </c>
      <c r="F2" s="4" t="n">
        <v>1189.7</v>
      </c>
      <c r="G2" s="5">
        <f>IF(E2=0,"",D2/E2-1)</f>
        <v/>
      </c>
      <c r="H2">
        <f>IF(E2=0,IF(D2&gt;0,"Revisar",""),IF(ABS(G2)&gt;Parámetros!$B$3,"Revisar",""))</f>
        <v/>
      </c>
      <c r="I2" s="6">
        <f>INDEX(Desempeño!$C$4:$C$12,MATCH(C2,Desempeño!$A$4:$A$12,0))</f>
        <v/>
      </c>
      <c r="J2" s="4">
        <f>MAX(0,D2*(1-I2*Parámetros!$B$8))</f>
        <v/>
      </c>
      <c r="K2" s="4">
        <f>D2*(1+I2*Parámetros!$B$8)</f>
        <v/>
      </c>
      <c r="L2">
        <f>INDEX(Desempeño!$H$4:$H$12,MATCH(C2,Desempeño!$A$4:$A$12,0))</f>
        <v/>
      </c>
      <c r="M2">
        <f>INDEX(Desempeño!$G$4:$G$12,MATCH(C2,Desempeño!$A$4:$A$12,0))</f>
        <v/>
      </c>
      <c r="N2" s="7">
        <f>INDEX(Parámetros!$B$13:$B$21,MATCH(C2,Parámetros!$A$13:$A$21,0))</f>
        <v/>
      </c>
      <c r="O2" s="4">
        <f>D2*N2</f>
        <v/>
      </c>
    </row>
    <row r="3">
      <c r="A3" t="inlineStr">
        <is>
          <t>Septiembre 2026</t>
        </is>
      </c>
      <c r="B3" t="inlineStr">
        <is>
          <t>Ambato</t>
        </is>
      </c>
      <c r="C3" t="inlineStr">
        <is>
          <t>Kinder Bueno</t>
        </is>
      </c>
      <c r="D3" s="4" t="n">
        <v>1947.3</v>
      </c>
      <c r="E3" s="4" t="n">
        <v>2543</v>
      </c>
      <c r="F3" s="4" t="n">
        <v>1728.3</v>
      </c>
      <c r="G3" s="5">
        <f>IF(E3=0,"",D3/E3-1)</f>
        <v/>
      </c>
      <c r="H3">
        <f>IF(E3=0,IF(D3&gt;0,"Revisar",""),IF(ABS(G3)&gt;Parámetros!$B$3,"Revisar",""))</f>
        <v/>
      </c>
      <c r="I3" s="6">
        <f>INDEX(Desempeño!$C$4:$C$12,MATCH(C3,Desempeño!$A$4:$A$12,0))</f>
        <v/>
      </c>
      <c r="J3" s="4">
        <f>MAX(0,D3*(1-I3*Parámetros!$B$8))</f>
        <v/>
      </c>
      <c r="K3" s="4">
        <f>D3*(1+I3*Parámetros!$B$8)</f>
        <v/>
      </c>
      <c r="L3">
        <f>INDEX(Desempeño!$H$4:$H$12,MATCH(C3,Desempeño!$A$4:$A$12,0))</f>
        <v/>
      </c>
      <c r="M3">
        <f>INDEX(Desempeño!$G$4:$G$12,MATCH(C3,Desempeño!$A$4:$A$12,0))</f>
        <v/>
      </c>
      <c r="N3" s="7">
        <f>INDEX(Parámetros!$B$13:$B$21,MATCH(C3,Parámetros!$A$13:$A$21,0))</f>
        <v/>
      </c>
      <c r="O3" s="4">
        <f>D3*N3</f>
        <v/>
      </c>
    </row>
    <row r="4">
      <c r="A4" t="inlineStr">
        <is>
          <t>Septiembre 2026</t>
        </is>
      </c>
      <c r="B4" t="inlineStr">
        <is>
          <t>Ambato</t>
        </is>
      </c>
      <c r="C4" t="inlineStr">
        <is>
          <t>Kinder Chocolate</t>
        </is>
      </c>
      <c r="D4" s="4" t="n">
        <v>558.4</v>
      </c>
      <c r="E4" s="4" t="n">
        <v>743</v>
      </c>
      <c r="F4" s="4" t="n">
        <v>484.7</v>
      </c>
      <c r="G4" s="5">
        <f>IF(E4=0,"",D4/E4-1)</f>
        <v/>
      </c>
      <c r="H4">
        <f>IF(E4=0,IF(D4&gt;0,"Revisar",""),IF(ABS(G4)&gt;Parámetros!$B$3,"Revisar",""))</f>
        <v/>
      </c>
      <c r="I4" s="6">
        <f>INDEX(Desempeño!$C$4:$C$12,MATCH(C4,Desempeño!$A$4:$A$12,0))</f>
        <v/>
      </c>
      <c r="J4" s="4">
        <f>MAX(0,D4*(1-I4*Parámetros!$B$8))</f>
        <v/>
      </c>
      <c r="K4" s="4">
        <f>D4*(1+I4*Parámetros!$B$8)</f>
        <v/>
      </c>
      <c r="L4">
        <f>INDEX(Desempeño!$H$4:$H$12,MATCH(C4,Desempeño!$A$4:$A$12,0))</f>
        <v/>
      </c>
      <c r="M4">
        <f>INDEX(Desempeño!$G$4:$G$12,MATCH(C4,Desempeño!$A$4:$A$12,0))</f>
        <v/>
      </c>
      <c r="N4" s="7">
        <f>INDEX(Parámetros!$B$13:$B$21,MATCH(C4,Parámetros!$A$13:$A$21,0))</f>
        <v/>
      </c>
      <c r="O4" s="4">
        <f>D4*N4</f>
        <v/>
      </c>
    </row>
    <row r="5">
      <c r="A5" t="inlineStr">
        <is>
          <t>Septiembre 2026</t>
        </is>
      </c>
      <c r="B5" t="inlineStr">
        <is>
          <t>Ambato</t>
        </is>
      </c>
      <c r="C5" t="inlineStr">
        <is>
          <t>Kinder Joy</t>
        </is>
      </c>
      <c r="D5" s="4" t="n">
        <v>3502.6</v>
      </c>
      <c r="E5" s="4" t="n">
        <v>3158</v>
      </c>
      <c r="F5" s="4" t="n">
        <v>3201</v>
      </c>
      <c r="G5" s="5">
        <f>IF(E5=0,"",D5/E5-1)</f>
        <v/>
      </c>
      <c r="H5">
        <f>IF(E5=0,IF(D5&gt;0,"Revisar",""),IF(ABS(G5)&gt;Parámetros!$B$3,"Revisar",""))</f>
        <v/>
      </c>
      <c r="I5" s="6">
        <f>INDEX(Desempeño!$C$4:$C$12,MATCH(C5,Desempeño!$A$4:$A$12,0))</f>
        <v/>
      </c>
      <c r="J5" s="4">
        <f>MAX(0,D5*(1-I5*Parámetros!$B$8))</f>
        <v/>
      </c>
      <c r="K5" s="4">
        <f>D5*(1+I5*Parámetros!$B$8)</f>
        <v/>
      </c>
      <c r="L5">
        <f>INDEX(Desempeño!$H$4:$H$12,MATCH(C5,Desempeño!$A$4:$A$12,0))</f>
        <v/>
      </c>
      <c r="M5">
        <f>INDEX(Desempeño!$G$4:$G$12,MATCH(C5,Desempeño!$A$4:$A$12,0))</f>
        <v/>
      </c>
      <c r="N5" s="7">
        <f>INDEX(Parámetros!$B$13:$B$21,MATCH(C5,Parámetros!$A$13:$A$21,0))</f>
        <v/>
      </c>
      <c r="O5" s="4">
        <f>D5*N5</f>
        <v/>
      </c>
    </row>
    <row r="6">
      <c r="A6" t="inlineStr">
        <is>
          <t>Septiembre 2026</t>
        </is>
      </c>
      <c r="B6" t="inlineStr">
        <is>
          <t>Ambato</t>
        </is>
      </c>
      <c r="C6" t="inlineStr">
        <is>
          <t>Noggy</t>
        </is>
      </c>
      <c r="D6" s="4" t="n">
        <v>1586.1</v>
      </c>
      <c r="E6" s="4" t="n">
        <v>2246</v>
      </c>
      <c r="F6" s="4" t="n">
        <v>1454.7</v>
      </c>
      <c r="G6" s="5">
        <f>IF(E6=0,"",D6/E6-1)</f>
        <v/>
      </c>
      <c r="H6">
        <f>IF(E6=0,IF(D6&gt;0,"Revisar",""),IF(ABS(G6)&gt;Parámetros!$B$3,"Revisar",""))</f>
        <v/>
      </c>
      <c r="I6" s="6">
        <f>INDEX(Desempeño!$C$4:$C$12,MATCH(C6,Desempeño!$A$4:$A$12,0))</f>
        <v/>
      </c>
      <c r="J6" s="4">
        <f>MAX(0,D6*(1-I6*Parámetros!$B$8))</f>
        <v/>
      </c>
      <c r="K6" s="4">
        <f>D6*(1+I6*Parámetros!$B$8)</f>
        <v/>
      </c>
      <c r="L6">
        <f>INDEX(Desempeño!$H$4:$H$12,MATCH(C6,Desempeño!$A$4:$A$12,0))</f>
        <v/>
      </c>
      <c r="M6">
        <f>INDEX(Desempeño!$G$4:$G$12,MATCH(C6,Desempeño!$A$4:$A$12,0))</f>
        <v/>
      </c>
      <c r="N6" s="7">
        <f>INDEX(Parámetros!$B$13:$B$21,MATCH(C6,Parámetros!$A$13:$A$21,0))</f>
        <v/>
      </c>
      <c r="O6" s="4">
        <f>D6*N6</f>
        <v/>
      </c>
    </row>
    <row r="7">
      <c r="A7" t="inlineStr">
        <is>
          <t>Septiembre 2026</t>
        </is>
      </c>
      <c r="B7" t="inlineStr">
        <is>
          <t>Ambato</t>
        </is>
      </c>
      <c r="C7" t="inlineStr">
        <is>
          <t>Nutella</t>
        </is>
      </c>
      <c r="D7" s="4" t="n">
        <v>4455.4</v>
      </c>
      <c r="E7" s="4" t="n">
        <v>4674</v>
      </c>
      <c r="F7" s="4" t="n">
        <v>4269.7</v>
      </c>
      <c r="G7" s="5">
        <f>IF(E7=0,"",D7/E7-1)</f>
        <v/>
      </c>
      <c r="H7">
        <f>IF(E7=0,IF(D7&gt;0,"Revisar",""),IF(ABS(G7)&gt;Parámetros!$B$3,"Revisar",""))</f>
        <v/>
      </c>
      <c r="I7" s="6">
        <f>INDEX(Desempeño!$C$4:$C$12,MATCH(C7,Desempeño!$A$4:$A$12,0))</f>
        <v/>
      </c>
      <c r="J7" s="4">
        <f>MAX(0,D7*(1-I7*Parámetros!$B$8))</f>
        <v/>
      </c>
      <c r="K7" s="4">
        <f>D7*(1+I7*Parámetros!$B$8)</f>
        <v/>
      </c>
      <c r="L7">
        <f>INDEX(Desempeño!$H$4:$H$12,MATCH(C7,Desempeño!$A$4:$A$12,0))</f>
        <v/>
      </c>
      <c r="M7">
        <f>INDEX(Desempeño!$G$4:$G$12,MATCH(C7,Desempeño!$A$4:$A$12,0))</f>
        <v/>
      </c>
      <c r="N7" s="7">
        <f>INDEX(Parámetros!$B$13:$B$21,MATCH(C7,Parámetros!$A$13:$A$21,0))</f>
        <v/>
      </c>
      <c r="O7" s="4">
        <f>D7*N7</f>
        <v/>
      </c>
    </row>
    <row r="8">
      <c r="A8" t="inlineStr">
        <is>
          <t>Septiembre 2026</t>
        </is>
      </c>
      <c r="B8" t="inlineStr">
        <is>
          <t>Ambato</t>
        </is>
      </c>
      <c r="C8" t="inlineStr">
        <is>
          <t>Raffaello</t>
        </is>
      </c>
      <c r="D8" s="4" t="n">
        <v>818.2</v>
      </c>
      <c r="E8" s="4" t="n">
        <v>844</v>
      </c>
      <c r="F8" s="4" t="n">
        <v>728.7</v>
      </c>
      <c r="G8" s="5">
        <f>IF(E8=0,"",D8/E8-1)</f>
        <v/>
      </c>
      <c r="H8">
        <f>IF(E8=0,IF(D8&gt;0,"Revisar",""),IF(ABS(G8)&gt;Parámetros!$B$3,"Revisar",""))</f>
        <v/>
      </c>
      <c r="I8" s="6">
        <f>INDEX(Desempeño!$C$4:$C$12,MATCH(C8,Desempeño!$A$4:$A$12,0))</f>
        <v/>
      </c>
      <c r="J8" s="4">
        <f>MAX(0,D8*(1-I8*Parámetros!$B$8))</f>
        <v/>
      </c>
      <c r="K8" s="4">
        <f>D8*(1+I8*Parámetros!$B$8)</f>
        <v/>
      </c>
      <c r="L8">
        <f>INDEX(Desempeño!$H$4:$H$12,MATCH(C8,Desempeño!$A$4:$A$12,0))</f>
        <v/>
      </c>
      <c r="M8">
        <f>INDEX(Desempeño!$G$4:$G$12,MATCH(C8,Desempeño!$A$4:$A$12,0))</f>
        <v/>
      </c>
      <c r="N8" s="7">
        <f>INDEX(Parámetros!$B$13:$B$21,MATCH(C8,Parámetros!$A$13:$A$21,0))</f>
        <v/>
      </c>
      <c r="O8" s="4">
        <f>D8*N8</f>
        <v/>
      </c>
    </row>
    <row r="9">
      <c r="A9" t="inlineStr">
        <is>
          <t>Septiembre 2026</t>
        </is>
      </c>
      <c r="B9" t="inlineStr">
        <is>
          <t>Ambato</t>
        </is>
      </c>
      <c r="C9" t="inlineStr">
        <is>
          <t>Rocher</t>
        </is>
      </c>
      <c r="D9" s="4" t="n">
        <v>4002.7</v>
      </c>
      <c r="E9" s="4" t="n">
        <v>5638</v>
      </c>
      <c r="F9" s="4" t="n">
        <v>3457.7</v>
      </c>
      <c r="G9" s="5">
        <f>IF(E9=0,"",D9/E9-1)</f>
        <v/>
      </c>
      <c r="H9">
        <f>IF(E9=0,IF(D9&gt;0,"Revisar",""),IF(ABS(G9)&gt;Parámetros!$B$3,"Revisar",""))</f>
        <v/>
      </c>
      <c r="I9" s="6">
        <f>INDEX(Desempeño!$C$4:$C$12,MATCH(C9,Desempeño!$A$4:$A$12,0))</f>
        <v/>
      </c>
      <c r="J9" s="4">
        <f>MAX(0,D9*(1-I9*Parámetros!$B$8))</f>
        <v/>
      </c>
      <c r="K9" s="4">
        <f>D9*(1+I9*Parámetros!$B$8)</f>
        <v/>
      </c>
      <c r="L9">
        <f>INDEX(Desempeño!$H$4:$H$12,MATCH(C9,Desempeño!$A$4:$A$12,0))</f>
        <v/>
      </c>
      <c r="M9">
        <f>INDEX(Desempeño!$G$4:$G$12,MATCH(C9,Desempeño!$A$4:$A$12,0))</f>
        <v/>
      </c>
      <c r="N9" s="7">
        <f>INDEX(Parámetros!$B$13:$B$21,MATCH(C9,Parámetros!$A$13:$A$21,0))</f>
        <v/>
      </c>
      <c r="O9" s="4">
        <f>D9*N9</f>
        <v/>
      </c>
    </row>
    <row r="10">
      <c r="A10" t="inlineStr">
        <is>
          <t>Septiembre 2026</t>
        </is>
      </c>
      <c r="B10" t="inlineStr">
        <is>
          <t>Ambato</t>
        </is>
      </c>
      <c r="C10" t="inlineStr">
        <is>
          <t>Tic Tac</t>
        </is>
      </c>
      <c r="D10" s="4" t="n">
        <v>1857.6</v>
      </c>
      <c r="E10" s="4" t="n">
        <v>2433</v>
      </c>
      <c r="F10" s="4" t="n">
        <v>1572</v>
      </c>
      <c r="G10" s="5">
        <f>IF(E10=0,"",D10/E10-1)</f>
        <v/>
      </c>
      <c r="H10">
        <f>IF(E10=0,IF(D10&gt;0,"Revisar",""),IF(ABS(G10)&gt;Parámetros!$B$3,"Revisar",""))</f>
        <v/>
      </c>
      <c r="I10" s="6">
        <f>INDEX(Desempeño!$C$4:$C$12,MATCH(C10,Desempeño!$A$4:$A$12,0))</f>
        <v/>
      </c>
      <c r="J10" s="4">
        <f>MAX(0,D10*(1-I10*Parámetros!$B$8))</f>
        <v/>
      </c>
      <c r="K10" s="4">
        <f>D10*(1+I10*Parámetros!$B$8)</f>
        <v/>
      </c>
      <c r="L10">
        <f>INDEX(Desempeño!$H$4:$H$12,MATCH(C10,Desempeño!$A$4:$A$12,0))</f>
        <v/>
      </c>
      <c r="M10">
        <f>INDEX(Desempeño!$G$4:$G$12,MATCH(C10,Desempeño!$A$4:$A$12,0))</f>
        <v/>
      </c>
      <c r="N10" s="7">
        <f>INDEX(Parámetros!$B$13:$B$21,MATCH(C10,Parámetros!$A$13:$A$21,0))</f>
        <v/>
      </c>
      <c r="O10" s="4">
        <f>D10*N10</f>
        <v/>
      </c>
    </row>
    <row r="11">
      <c r="A11" t="inlineStr">
        <is>
          <t>Septiembre 2026</t>
        </is>
      </c>
      <c r="B11" t="inlineStr">
        <is>
          <t>Cuenca</t>
        </is>
      </c>
      <c r="C11" t="inlineStr">
        <is>
          <t>Hanuta</t>
        </is>
      </c>
      <c r="D11" s="4" t="n">
        <v>2732.4</v>
      </c>
      <c r="E11" s="4" t="n">
        <v>3498</v>
      </c>
      <c r="F11" s="4" t="n">
        <v>2328</v>
      </c>
      <c r="G11" s="5">
        <f>IF(E11=0,"",D11/E11-1)</f>
        <v/>
      </c>
      <c r="H11">
        <f>IF(E11=0,IF(D11&gt;0,"Revisar",""),IF(ABS(G11)&gt;Parámetros!$B$3,"Revisar",""))</f>
        <v/>
      </c>
      <c r="I11" s="6">
        <f>INDEX(Desempeño!$C$4:$C$12,MATCH(C11,Desempeño!$A$4:$A$12,0))</f>
        <v/>
      </c>
      <c r="J11" s="4">
        <f>MAX(0,D11*(1-I11*Parámetros!$B$8))</f>
        <v/>
      </c>
      <c r="K11" s="4">
        <f>D11*(1+I11*Parámetros!$B$8)</f>
        <v/>
      </c>
      <c r="L11">
        <f>INDEX(Desempeño!$H$4:$H$12,MATCH(C11,Desempeño!$A$4:$A$12,0))</f>
        <v/>
      </c>
      <c r="M11">
        <f>INDEX(Desempeño!$G$4:$G$12,MATCH(C11,Desempeño!$A$4:$A$12,0))</f>
        <v/>
      </c>
      <c r="N11" s="7">
        <f>INDEX(Parámetros!$B$13:$B$21,MATCH(C11,Parámetros!$A$13:$A$21,0))</f>
        <v/>
      </c>
      <c r="O11" s="4">
        <f>D11*N11</f>
        <v/>
      </c>
    </row>
    <row r="12">
      <c r="A12" t="inlineStr">
        <is>
          <t>Septiembre 2026</t>
        </is>
      </c>
      <c r="B12" t="inlineStr">
        <is>
          <t>Cuenca</t>
        </is>
      </c>
      <c r="C12" t="inlineStr">
        <is>
          <t>Kinder Bueno</t>
        </is>
      </c>
      <c r="D12" s="4" t="n">
        <v>4846</v>
      </c>
      <c r="E12" s="4" t="n">
        <v>4937</v>
      </c>
      <c r="F12" s="4" t="n">
        <v>5227.7</v>
      </c>
      <c r="G12" s="5">
        <f>IF(E12=0,"",D12/E12-1)</f>
        <v/>
      </c>
      <c r="H12">
        <f>IF(E12=0,IF(D12&gt;0,"Revisar",""),IF(ABS(G12)&gt;Parámetros!$B$3,"Revisar",""))</f>
        <v/>
      </c>
      <c r="I12" s="6">
        <f>INDEX(Desempeño!$C$4:$C$12,MATCH(C12,Desempeño!$A$4:$A$12,0))</f>
        <v/>
      </c>
      <c r="J12" s="4">
        <f>MAX(0,D12*(1-I12*Parámetros!$B$8))</f>
        <v/>
      </c>
      <c r="K12" s="4">
        <f>D12*(1+I12*Parámetros!$B$8)</f>
        <v/>
      </c>
      <c r="L12">
        <f>INDEX(Desempeño!$H$4:$H$12,MATCH(C12,Desempeño!$A$4:$A$12,0))</f>
        <v/>
      </c>
      <c r="M12">
        <f>INDEX(Desempeño!$G$4:$G$12,MATCH(C12,Desempeño!$A$4:$A$12,0))</f>
        <v/>
      </c>
      <c r="N12" s="7">
        <f>INDEX(Parámetros!$B$13:$B$21,MATCH(C12,Parámetros!$A$13:$A$21,0))</f>
        <v/>
      </c>
      <c r="O12" s="4">
        <f>D12*N12</f>
        <v/>
      </c>
    </row>
    <row r="13">
      <c r="A13" t="inlineStr">
        <is>
          <t>Septiembre 2026</t>
        </is>
      </c>
      <c r="B13" t="inlineStr">
        <is>
          <t>Cuenca</t>
        </is>
      </c>
      <c r="C13" t="inlineStr">
        <is>
          <t>Kinder Chocolate</t>
        </is>
      </c>
      <c r="D13" s="4" t="n">
        <v>927.8</v>
      </c>
      <c r="E13" s="4" t="n">
        <v>1243</v>
      </c>
      <c r="F13" s="4" t="n">
        <v>1050.7</v>
      </c>
      <c r="G13" s="5">
        <f>IF(E13=0,"",D13/E13-1)</f>
        <v/>
      </c>
      <c r="H13">
        <f>IF(E13=0,IF(D13&gt;0,"Revisar",""),IF(ABS(G13)&gt;Parámetros!$B$3,"Revisar",""))</f>
        <v/>
      </c>
      <c r="I13" s="6">
        <f>INDEX(Desempeño!$C$4:$C$12,MATCH(C13,Desempeño!$A$4:$A$12,0))</f>
        <v/>
      </c>
      <c r="J13" s="4">
        <f>MAX(0,D13*(1-I13*Parámetros!$B$8))</f>
        <v/>
      </c>
      <c r="K13" s="4">
        <f>D13*(1+I13*Parámetros!$B$8)</f>
        <v/>
      </c>
      <c r="L13">
        <f>INDEX(Desempeño!$H$4:$H$12,MATCH(C13,Desempeño!$A$4:$A$12,0))</f>
        <v/>
      </c>
      <c r="M13">
        <f>INDEX(Desempeño!$G$4:$G$12,MATCH(C13,Desempeño!$A$4:$A$12,0))</f>
        <v/>
      </c>
      <c r="N13" s="7">
        <f>INDEX(Parámetros!$B$13:$B$21,MATCH(C13,Parámetros!$A$13:$A$21,0))</f>
        <v/>
      </c>
      <c r="O13" s="4">
        <f>D13*N13</f>
        <v/>
      </c>
    </row>
    <row r="14">
      <c r="A14" t="inlineStr">
        <is>
          <t>Septiembre 2026</t>
        </is>
      </c>
      <c r="B14" t="inlineStr">
        <is>
          <t>Cuenca</t>
        </is>
      </c>
      <c r="C14" t="inlineStr">
        <is>
          <t>Kinder Joy</t>
        </is>
      </c>
      <c r="D14" s="4" t="n">
        <v>4744.6</v>
      </c>
      <c r="E14" s="4" t="n">
        <v>4432</v>
      </c>
      <c r="F14" s="4" t="n">
        <v>6056</v>
      </c>
      <c r="G14" s="5">
        <f>IF(E14=0,"",D14/E14-1)</f>
        <v/>
      </c>
      <c r="H14">
        <f>IF(E14=0,IF(D14&gt;0,"Revisar",""),IF(ABS(G14)&gt;Parámetros!$B$3,"Revisar",""))</f>
        <v/>
      </c>
      <c r="I14" s="6">
        <f>INDEX(Desempeño!$C$4:$C$12,MATCH(C14,Desempeño!$A$4:$A$12,0))</f>
        <v/>
      </c>
      <c r="J14" s="4">
        <f>MAX(0,D14*(1-I14*Parámetros!$B$8))</f>
        <v/>
      </c>
      <c r="K14" s="4">
        <f>D14*(1+I14*Parámetros!$B$8)</f>
        <v/>
      </c>
      <c r="L14">
        <f>INDEX(Desempeño!$H$4:$H$12,MATCH(C14,Desempeño!$A$4:$A$12,0))</f>
        <v/>
      </c>
      <c r="M14">
        <f>INDEX(Desempeño!$G$4:$G$12,MATCH(C14,Desempeño!$A$4:$A$12,0))</f>
        <v/>
      </c>
      <c r="N14" s="7">
        <f>INDEX(Parámetros!$B$13:$B$21,MATCH(C14,Parámetros!$A$13:$A$21,0))</f>
        <v/>
      </c>
      <c r="O14" s="4">
        <f>D14*N14</f>
        <v/>
      </c>
    </row>
    <row r="15">
      <c r="A15" t="inlineStr">
        <is>
          <t>Septiembre 2026</t>
        </is>
      </c>
      <c r="B15" t="inlineStr">
        <is>
          <t>Cuenca</t>
        </is>
      </c>
      <c r="C15" t="inlineStr">
        <is>
          <t>Noggy</t>
        </is>
      </c>
      <c r="D15" s="4" t="n">
        <v>3797.6</v>
      </c>
      <c r="E15" s="4" t="n">
        <v>4928</v>
      </c>
      <c r="F15" s="4" t="n">
        <v>3304.3</v>
      </c>
      <c r="G15" s="5">
        <f>IF(E15=0,"",D15/E15-1)</f>
        <v/>
      </c>
      <c r="H15">
        <f>IF(E15=0,IF(D15&gt;0,"Revisar",""),IF(ABS(G15)&gt;Parámetros!$B$3,"Revisar",""))</f>
        <v/>
      </c>
      <c r="I15" s="6">
        <f>INDEX(Desempeño!$C$4:$C$12,MATCH(C15,Desempeño!$A$4:$A$12,0))</f>
        <v/>
      </c>
      <c r="J15" s="4">
        <f>MAX(0,D15*(1-I15*Parámetros!$B$8))</f>
        <v/>
      </c>
      <c r="K15" s="4">
        <f>D15*(1+I15*Parámetros!$B$8)</f>
        <v/>
      </c>
      <c r="L15">
        <f>INDEX(Desempeño!$H$4:$H$12,MATCH(C15,Desempeño!$A$4:$A$12,0))</f>
        <v/>
      </c>
      <c r="M15">
        <f>INDEX(Desempeño!$G$4:$G$12,MATCH(C15,Desempeño!$A$4:$A$12,0))</f>
        <v/>
      </c>
      <c r="N15" s="7">
        <f>INDEX(Parámetros!$B$13:$B$21,MATCH(C15,Parámetros!$A$13:$A$21,0))</f>
        <v/>
      </c>
      <c r="O15" s="4">
        <f>D15*N15</f>
        <v/>
      </c>
    </row>
    <row r="16">
      <c r="A16" t="inlineStr">
        <is>
          <t>Septiembre 2026</t>
        </is>
      </c>
      <c r="B16" t="inlineStr">
        <is>
          <t>Cuenca</t>
        </is>
      </c>
      <c r="C16" t="inlineStr">
        <is>
          <t>Nutella</t>
        </is>
      </c>
      <c r="D16" s="4" t="n">
        <v>15135.7</v>
      </c>
      <c r="E16" s="4" t="n">
        <v>15704</v>
      </c>
      <c r="F16" s="4" t="n">
        <v>18400</v>
      </c>
      <c r="G16" s="5">
        <f>IF(E16=0,"",D16/E16-1)</f>
        <v/>
      </c>
      <c r="H16">
        <f>IF(E16=0,IF(D16&gt;0,"Revisar",""),IF(ABS(G16)&gt;Parámetros!$B$3,"Revisar",""))</f>
        <v/>
      </c>
      <c r="I16" s="6">
        <f>INDEX(Desempeño!$C$4:$C$12,MATCH(C16,Desempeño!$A$4:$A$12,0))</f>
        <v/>
      </c>
      <c r="J16" s="4">
        <f>MAX(0,D16*(1-I16*Parámetros!$B$8))</f>
        <v/>
      </c>
      <c r="K16" s="4">
        <f>D16*(1+I16*Parámetros!$B$8)</f>
        <v/>
      </c>
      <c r="L16">
        <f>INDEX(Desempeño!$H$4:$H$12,MATCH(C16,Desempeño!$A$4:$A$12,0))</f>
        <v/>
      </c>
      <c r="M16">
        <f>INDEX(Desempeño!$G$4:$G$12,MATCH(C16,Desempeño!$A$4:$A$12,0))</f>
        <v/>
      </c>
      <c r="N16" s="7">
        <f>INDEX(Parámetros!$B$13:$B$21,MATCH(C16,Parámetros!$A$13:$A$21,0))</f>
        <v/>
      </c>
      <c r="O16" s="4">
        <f>D16*N16</f>
        <v/>
      </c>
    </row>
    <row r="17">
      <c r="A17" t="inlineStr">
        <is>
          <t>Septiembre 2026</t>
        </is>
      </c>
      <c r="B17" t="inlineStr">
        <is>
          <t>Cuenca</t>
        </is>
      </c>
      <c r="C17" t="inlineStr">
        <is>
          <t>Raffaello</t>
        </is>
      </c>
      <c r="D17" s="4" t="n">
        <v>2029.4</v>
      </c>
      <c r="E17" s="4" t="n">
        <v>2251</v>
      </c>
      <c r="F17" s="4" t="n">
        <v>1735.3</v>
      </c>
      <c r="G17" s="5">
        <f>IF(E17=0,"",D17/E17-1)</f>
        <v/>
      </c>
      <c r="H17">
        <f>IF(E17=0,IF(D17&gt;0,"Revisar",""),IF(ABS(G17)&gt;Parámetros!$B$3,"Revisar",""))</f>
        <v/>
      </c>
      <c r="I17" s="6">
        <f>INDEX(Desempeño!$C$4:$C$12,MATCH(C17,Desempeño!$A$4:$A$12,0))</f>
        <v/>
      </c>
      <c r="J17" s="4">
        <f>MAX(0,D17*(1-I17*Parámetros!$B$8))</f>
        <v/>
      </c>
      <c r="K17" s="4">
        <f>D17*(1+I17*Parámetros!$B$8)</f>
        <v/>
      </c>
      <c r="L17">
        <f>INDEX(Desempeño!$H$4:$H$12,MATCH(C17,Desempeño!$A$4:$A$12,0))</f>
        <v/>
      </c>
      <c r="M17">
        <f>INDEX(Desempeño!$G$4:$G$12,MATCH(C17,Desempeño!$A$4:$A$12,0))</f>
        <v/>
      </c>
      <c r="N17" s="7">
        <f>INDEX(Parámetros!$B$13:$B$21,MATCH(C17,Parámetros!$A$13:$A$21,0))</f>
        <v/>
      </c>
      <c r="O17" s="4">
        <f>D17*N17</f>
        <v/>
      </c>
    </row>
    <row r="18">
      <c r="A18" t="inlineStr">
        <is>
          <t>Septiembre 2026</t>
        </is>
      </c>
      <c r="B18" t="inlineStr">
        <is>
          <t>Cuenca</t>
        </is>
      </c>
      <c r="C18" t="inlineStr">
        <is>
          <t>Rocher</t>
        </is>
      </c>
      <c r="D18" s="4" t="n">
        <v>8327.1</v>
      </c>
      <c r="E18" s="4" t="n">
        <v>9214</v>
      </c>
      <c r="F18" s="4" t="n">
        <v>6357.7</v>
      </c>
      <c r="G18" s="5">
        <f>IF(E18=0,"",D18/E18-1)</f>
        <v/>
      </c>
      <c r="H18">
        <f>IF(E18=0,IF(D18&gt;0,"Revisar",""),IF(ABS(G18)&gt;Parámetros!$B$3,"Revisar",""))</f>
        <v/>
      </c>
      <c r="I18" s="6">
        <f>INDEX(Desempeño!$C$4:$C$12,MATCH(C18,Desempeño!$A$4:$A$12,0))</f>
        <v/>
      </c>
      <c r="J18" s="4">
        <f>MAX(0,D18*(1-I18*Parámetros!$B$8))</f>
        <v/>
      </c>
      <c r="K18" s="4">
        <f>D18*(1+I18*Parámetros!$B$8)</f>
        <v/>
      </c>
      <c r="L18">
        <f>INDEX(Desempeño!$H$4:$H$12,MATCH(C18,Desempeño!$A$4:$A$12,0))</f>
        <v/>
      </c>
      <c r="M18">
        <f>INDEX(Desempeño!$G$4:$G$12,MATCH(C18,Desempeño!$A$4:$A$12,0))</f>
        <v/>
      </c>
      <c r="N18" s="7">
        <f>INDEX(Parámetros!$B$13:$B$21,MATCH(C18,Parámetros!$A$13:$A$21,0))</f>
        <v/>
      </c>
      <c r="O18" s="4">
        <f>D18*N18</f>
        <v/>
      </c>
    </row>
    <row r="19">
      <c r="A19" t="inlineStr">
        <is>
          <t>Septiembre 2026</t>
        </is>
      </c>
      <c r="B19" t="inlineStr">
        <is>
          <t>Cuenca</t>
        </is>
      </c>
      <c r="C19" t="inlineStr">
        <is>
          <t>Tic Tac</t>
        </is>
      </c>
      <c r="D19" s="4" t="n">
        <v>2678</v>
      </c>
      <c r="E19" s="4" t="n">
        <v>3091</v>
      </c>
      <c r="F19" s="4" t="n">
        <v>2678</v>
      </c>
      <c r="G19" s="5">
        <f>IF(E19=0,"",D19/E19-1)</f>
        <v/>
      </c>
      <c r="H19">
        <f>IF(E19=0,IF(D19&gt;0,"Revisar",""),IF(ABS(G19)&gt;Parámetros!$B$3,"Revisar",""))</f>
        <v/>
      </c>
      <c r="I19" s="6">
        <f>INDEX(Desempeño!$C$4:$C$12,MATCH(C19,Desempeño!$A$4:$A$12,0))</f>
        <v/>
      </c>
      <c r="J19" s="4">
        <f>MAX(0,D19*(1-I19*Parámetros!$B$8))</f>
        <v/>
      </c>
      <c r="K19" s="4">
        <f>D19*(1+I19*Parámetros!$B$8)</f>
        <v/>
      </c>
      <c r="L19">
        <f>INDEX(Desempeño!$H$4:$H$12,MATCH(C19,Desempeño!$A$4:$A$12,0))</f>
        <v/>
      </c>
      <c r="M19">
        <f>INDEX(Desempeño!$G$4:$G$12,MATCH(C19,Desempeño!$A$4:$A$12,0))</f>
        <v/>
      </c>
      <c r="N19" s="7">
        <f>INDEX(Parámetros!$B$13:$B$21,MATCH(C19,Parámetros!$A$13:$A$21,0))</f>
        <v/>
      </c>
      <c r="O19" s="4">
        <f>D19*N19</f>
        <v/>
      </c>
    </row>
    <row r="20">
      <c r="A20" t="inlineStr">
        <is>
          <t>Septiembre 2026</t>
        </is>
      </c>
      <c r="B20" t="inlineStr">
        <is>
          <t>Guayaquil</t>
        </is>
      </c>
      <c r="C20" t="inlineStr">
        <is>
          <t>Hanuta</t>
        </is>
      </c>
      <c r="D20" s="4" t="n">
        <v>1911.2</v>
      </c>
      <c r="E20" s="4" t="n">
        <v>2552</v>
      </c>
      <c r="F20" s="4" t="n">
        <v>1718.3</v>
      </c>
      <c r="G20" s="5">
        <f>IF(E20=0,"",D20/E20-1)</f>
        <v/>
      </c>
      <c r="H20">
        <f>IF(E20=0,IF(D20&gt;0,"Revisar",""),IF(ABS(G20)&gt;Parámetros!$B$3,"Revisar",""))</f>
        <v/>
      </c>
      <c r="I20" s="6">
        <f>INDEX(Desempeño!$C$4:$C$12,MATCH(C20,Desempeño!$A$4:$A$12,0))</f>
        <v/>
      </c>
      <c r="J20" s="4">
        <f>MAX(0,D20*(1-I20*Parámetros!$B$8))</f>
        <v/>
      </c>
      <c r="K20" s="4">
        <f>D20*(1+I20*Parámetros!$B$8)</f>
        <v/>
      </c>
      <c r="L20">
        <f>INDEX(Desempeño!$H$4:$H$12,MATCH(C20,Desempeño!$A$4:$A$12,0))</f>
        <v/>
      </c>
      <c r="M20">
        <f>INDEX(Desempeño!$G$4:$G$12,MATCH(C20,Desempeño!$A$4:$A$12,0))</f>
        <v/>
      </c>
      <c r="N20" s="7">
        <f>INDEX(Parámetros!$B$13:$B$21,MATCH(C20,Parámetros!$A$13:$A$21,0))</f>
        <v/>
      </c>
      <c r="O20" s="4">
        <f>D20*N20</f>
        <v/>
      </c>
    </row>
    <row r="21">
      <c r="A21" t="inlineStr">
        <is>
          <t>Septiembre 2026</t>
        </is>
      </c>
      <c r="B21" t="inlineStr">
        <is>
          <t>Guayaquil</t>
        </is>
      </c>
      <c r="C21" t="inlineStr">
        <is>
          <t>Kinder Bueno</t>
        </is>
      </c>
      <c r="D21" s="4" t="n">
        <v>1619.1</v>
      </c>
      <c r="E21" s="4" t="n">
        <v>2148</v>
      </c>
      <c r="F21" s="4" t="n">
        <v>1675.3</v>
      </c>
      <c r="G21" s="5">
        <f>IF(E21=0,"",D21/E21-1)</f>
        <v/>
      </c>
      <c r="H21">
        <f>IF(E21=0,IF(D21&gt;0,"Revisar",""),IF(ABS(G21)&gt;Parámetros!$B$3,"Revisar",""))</f>
        <v/>
      </c>
      <c r="I21" s="6">
        <f>INDEX(Desempeño!$C$4:$C$12,MATCH(C21,Desempeño!$A$4:$A$12,0))</f>
        <v/>
      </c>
      <c r="J21" s="4">
        <f>MAX(0,D21*(1-I21*Parámetros!$B$8))</f>
        <v/>
      </c>
      <c r="K21" s="4">
        <f>D21*(1+I21*Parámetros!$B$8)</f>
        <v/>
      </c>
      <c r="L21">
        <f>INDEX(Desempeño!$H$4:$H$12,MATCH(C21,Desempeño!$A$4:$A$12,0))</f>
        <v/>
      </c>
      <c r="M21">
        <f>INDEX(Desempeño!$G$4:$G$12,MATCH(C21,Desempeño!$A$4:$A$12,0))</f>
        <v/>
      </c>
      <c r="N21" s="7">
        <f>INDEX(Parámetros!$B$13:$B$21,MATCH(C21,Parámetros!$A$13:$A$21,0))</f>
        <v/>
      </c>
      <c r="O21" s="4">
        <f>D21*N21</f>
        <v/>
      </c>
    </row>
    <row r="22">
      <c r="A22" t="inlineStr">
        <is>
          <t>Septiembre 2026</t>
        </is>
      </c>
      <c r="B22" t="inlineStr">
        <is>
          <t>Guayaquil</t>
        </is>
      </c>
      <c r="C22" t="inlineStr">
        <is>
          <t>Kinder Chocolate</t>
        </is>
      </c>
      <c r="D22" s="4" t="n">
        <v>399.6</v>
      </c>
      <c r="E22" s="4" t="n">
        <v>650</v>
      </c>
      <c r="F22" s="4" t="n">
        <v>342</v>
      </c>
      <c r="G22" s="5">
        <f>IF(E22=0,"",D22/E22-1)</f>
        <v/>
      </c>
      <c r="H22">
        <f>IF(E22=0,IF(D22&gt;0,"Revisar",""),IF(ABS(G22)&gt;Parámetros!$B$3,"Revisar",""))</f>
        <v/>
      </c>
      <c r="I22" s="6">
        <f>INDEX(Desempeño!$C$4:$C$12,MATCH(C22,Desempeño!$A$4:$A$12,0))</f>
        <v/>
      </c>
      <c r="J22" s="4">
        <f>MAX(0,D22*(1-I22*Parámetros!$B$8))</f>
        <v/>
      </c>
      <c r="K22" s="4">
        <f>D22*(1+I22*Parámetros!$B$8)</f>
        <v/>
      </c>
      <c r="L22">
        <f>INDEX(Desempeño!$H$4:$H$12,MATCH(C22,Desempeño!$A$4:$A$12,0))</f>
        <v/>
      </c>
      <c r="M22">
        <f>INDEX(Desempeño!$G$4:$G$12,MATCH(C22,Desempeño!$A$4:$A$12,0))</f>
        <v/>
      </c>
      <c r="N22" s="7">
        <f>INDEX(Parámetros!$B$13:$B$21,MATCH(C22,Parámetros!$A$13:$A$21,0))</f>
        <v/>
      </c>
      <c r="O22" s="4">
        <f>D22*N22</f>
        <v/>
      </c>
    </row>
    <row r="23">
      <c r="A23" t="inlineStr">
        <is>
          <t>Septiembre 2026</t>
        </is>
      </c>
      <c r="B23" t="inlineStr">
        <is>
          <t>Guayaquil</t>
        </is>
      </c>
      <c r="C23" t="inlineStr">
        <is>
          <t>Kinder Joy</t>
        </is>
      </c>
      <c r="D23" s="4" t="n">
        <v>5569.7</v>
      </c>
      <c r="E23" s="4" t="n">
        <v>5975</v>
      </c>
      <c r="F23" s="4" t="n">
        <v>5381</v>
      </c>
      <c r="G23" s="5">
        <f>IF(E23=0,"",D23/E23-1)</f>
        <v/>
      </c>
      <c r="H23">
        <f>IF(E23=0,IF(D23&gt;0,"Revisar",""),IF(ABS(G23)&gt;Parámetros!$B$3,"Revisar",""))</f>
        <v/>
      </c>
      <c r="I23" s="6">
        <f>INDEX(Desempeño!$C$4:$C$12,MATCH(C23,Desempeño!$A$4:$A$12,0))</f>
        <v/>
      </c>
      <c r="J23" s="4">
        <f>MAX(0,D23*(1-I23*Parámetros!$B$8))</f>
        <v/>
      </c>
      <c r="K23" s="4">
        <f>D23*(1+I23*Parámetros!$B$8)</f>
        <v/>
      </c>
      <c r="L23">
        <f>INDEX(Desempeño!$H$4:$H$12,MATCH(C23,Desempeño!$A$4:$A$12,0))</f>
        <v/>
      </c>
      <c r="M23">
        <f>INDEX(Desempeño!$G$4:$G$12,MATCH(C23,Desempeño!$A$4:$A$12,0))</f>
        <v/>
      </c>
      <c r="N23" s="7">
        <f>INDEX(Parámetros!$B$13:$B$21,MATCH(C23,Parámetros!$A$13:$A$21,0))</f>
        <v/>
      </c>
      <c r="O23" s="4">
        <f>D23*N23</f>
        <v/>
      </c>
    </row>
    <row r="24">
      <c r="A24" t="inlineStr">
        <is>
          <t>Septiembre 2026</t>
        </is>
      </c>
      <c r="B24" t="inlineStr">
        <is>
          <t>Guayaquil</t>
        </is>
      </c>
      <c r="C24" t="inlineStr">
        <is>
          <t>Noggy</t>
        </is>
      </c>
      <c r="D24" s="4" t="n">
        <v>1743.1</v>
      </c>
      <c r="E24" s="4" t="n">
        <v>2863</v>
      </c>
      <c r="F24" s="4" t="n">
        <v>1658.3</v>
      </c>
      <c r="G24" s="5">
        <f>IF(E24=0,"",D24/E24-1)</f>
        <v/>
      </c>
      <c r="H24">
        <f>IF(E24=0,IF(D24&gt;0,"Revisar",""),IF(ABS(G24)&gt;Parámetros!$B$3,"Revisar",""))</f>
        <v/>
      </c>
      <c r="I24" s="6">
        <f>INDEX(Desempeño!$C$4:$C$12,MATCH(C24,Desempeño!$A$4:$A$12,0))</f>
        <v/>
      </c>
      <c r="J24" s="4">
        <f>MAX(0,D24*(1-I24*Parámetros!$B$8))</f>
        <v/>
      </c>
      <c r="K24" s="4">
        <f>D24*(1+I24*Parámetros!$B$8)</f>
        <v/>
      </c>
      <c r="L24">
        <f>INDEX(Desempeño!$H$4:$H$12,MATCH(C24,Desempeño!$A$4:$A$12,0))</f>
        <v/>
      </c>
      <c r="M24">
        <f>INDEX(Desempeño!$G$4:$G$12,MATCH(C24,Desempeño!$A$4:$A$12,0))</f>
        <v/>
      </c>
      <c r="N24" s="7">
        <f>INDEX(Parámetros!$B$13:$B$21,MATCH(C24,Parámetros!$A$13:$A$21,0))</f>
        <v/>
      </c>
      <c r="O24" s="4">
        <f>D24*N24</f>
        <v/>
      </c>
    </row>
    <row r="25">
      <c r="A25" t="inlineStr">
        <is>
          <t>Septiembre 2026</t>
        </is>
      </c>
      <c r="B25" t="inlineStr">
        <is>
          <t>Guayaquil</t>
        </is>
      </c>
      <c r="C25" t="inlineStr">
        <is>
          <t>Nutella</t>
        </is>
      </c>
      <c r="D25" s="4" t="n">
        <v>9437.700000000001</v>
      </c>
      <c r="E25" s="4" t="n">
        <v>9515</v>
      </c>
      <c r="F25" s="4" t="n">
        <v>9297.299999999999</v>
      </c>
      <c r="G25" s="5">
        <f>IF(E25=0,"",D25/E25-1)</f>
        <v/>
      </c>
      <c r="H25">
        <f>IF(E25=0,IF(D25&gt;0,"Revisar",""),IF(ABS(G25)&gt;Parámetros!$B$3,"Revisar",""))</f>
        <v/>
      </c>
      <c r="I25" s="6">
        <f>INDEX(Desempeño!$C$4:$C$12,MATCH(C25,Desempeño!$A$4:$A$12,0))</f>
        <v/>
      </c>
      <c r="J25" s="4">
        <f>MAX(0,D25*(1-I25*Parámetros!$B$8))</f>
        <v/>
      </c>
      <c r="K25" s="4">
        <f>D25*(1+I25*Parámetros!$B$8)</f>
        <v/>
      </c>
      <c r="L25">
        <f>INDEX(Desempeño!$H$4:$H$12,MATCH(C25,Desempeño!$A$4:$A$12,0))</f>
        <v/>
      </c>
      <c r="M25">
        <f>INDEX(Desempeño!$G$4:$G$12,MATCH(C25,Desempeño!$A$4:$A$12,0))</f>
        <v/>
      </c>
      <c r="N25" s="7">
        <f>INDEX(Parámetros!$B$13:$B$21,MATCH(C25,Parámetros!$A$13:$A$21,0))</f>
        <v/>
      </c>
      <c r="O25" s="4">
        <f>D25*N25</f>
        <v/>
      </c>
    </row>
    <row r="26">
      <c r="A26" t="inlineStr">
        <is>
          <t>Septiembre 2026</t>
        </is>
      </c>
      <c r="B26" t="inlineStr">
        <is>
          <t>Guayaquil</t>
        </is>
      </c>
      <c r="C26" t="inlineStr">
        <is>
          <t>Raffaello</t>
        </is>
      </c>
      <c r="D26" s="4" t="n">
        <v>427.5</v>
      </c>
      <c r="E26" s="4" t="n">
        <v>797</v>
      </c>
      <c r="F26" s="4" t="n">
        <v>302.7</v>
      </c>
      <c r="G26" s="5">
        <f>IF(E26=0,"",D26/E26-1)</f>
        <v/>
      </c>
      <c r="H26">
        <f>IF(E26=0,IF(D26&gt;0,"Revisar",""),IF(ABS(G26)&gt;Parámetros!$B$3,"Revisar",""))</f>
        <v/>
      </c>
      <c r="I26" s="6">
        <f>INDEX(Desempeño!$C$4:$C$12,MATCH(C26,Desempeño!$A$4:$A$12,0))</f>
        <v/>
      </c>
      <c r="J26" s="4">
        <f>MAX(0,D26*(1-I26*Parámetros!$B$8))</f>
        <v/>
      </c>
      <c r="K26" s="4">
        <f>D26*(1+I26*Parámetros!$B$8)</f>
        <v/>
      </c>
      <c r="L26">
        <f>INDEX(Desempeño!$H$4:$H$12,MATCH(C26,Desempeño!$A$4:$A$12,0))</f>
        <v/>
      </c>
      <c r="M26">
        <f>INDEX(Desempeño!$G$4:$G$12,MATCH(C26,Desempeño!$A$4:$A$12,0))</f>
        <v/>
      </c>
      <c r="N26" s="7">
        <f>INDEX(Parámetros!$B$13:$B$21,MATCH(C26,Parámetros!$A$13:$A$21,0))</f>
        <v/>
      </c>
      <c r="O26" s="4">
        <f>D26*N26</f>
        <v/>
      </c>
    </row>
    <row r="27">
      <c r="A27" t="inlineStr">
        <is>
          <t>Septiembre 2026</t>
        </is>
      </c>
      <c r="B27" t="inlineStr">
        <is>
          <t>Guayaquil</t>
        </is>
      </c>
      <c r="C27" t="inlineStr">
        <is>
          <t>Rocher</t>
        </is>
      </c>
      <c r="D27" s="4" t="n">
        <v>6343.5</v>
      </c>
      <c r="E27" s="4" t="n">
        <v>8442</v>
      </c>
      <c r="F27" s="4" t="n">
        <v>5359.7</v>
      </c>
      <c r="G27" s="5">
        <f>IF(E27=0,"",D27/E27-1)</f>
        <v/>
      </c>
      <c r="H27">
        <f>IF(E27=0,IF(D27&gt;0,"Revisar",""),IF(ABS(G27)&gt;Parámetros!$B$3,"Revisar",""))</f>
        <v/>
      </c>
      <c r="I27" s="6">
        <f>INDEX(Desempeño!$C$4:$C$12,MATCH(C27,Desempeño!$A$4:$A$12,0))</f>
        <v/>
      </c>
      <c r="J27" s="4">
        <f>MAX(0,D27*(1-I27*Parámetros!$B$8))</f>
        <v/>
      </c>
      <c r="K27" s="4">
        <f>D27*(1+I27*Parámetros!$B$8)</f>
        <v/>
      </c>
      <c r="L27">
        <f>INDEX(Desempeño!$H$4:$H$12,MATCH(C27,Desempeño!$A$4:$A$12,0))</f>
        <v/>
      </c>
      <c r="M27">
        <f>INDEX(Desempeño!$G$4:$G$12,MATCH(C27,Desempeño!$A$4:$A$12,0))</f>
        <v/>
      </c>
      <c r="N27" s="7">
        <f>INDEX(Parámetros!$B$13:$B$21,MATCH(C27,Parámetros!$A$13:$A$21,0))</f>
        <v/>
      </c>
      <c r="O27" s="4">
        <f>D27*N27</f>
        <v/>
      </c>
    </row>
    <row r="28">
      <c r="A28" t="inlineStr">
        <is>
          <t>Septiembre 2026</t>
        </is>
      </c>
      <c r="B28" t="inlineStr">
        <is>
          <t>Guayaquil</t>
        </is>
      </c>
      <c r="C28" t="inlineStr">
        <is>
          <t>Tic Tac</t>
        </is>
      </c>
      <c r="D28" s="4" t="n">
        <v>2957.5</v>
      </c>
      <c r="E28" s="4" t="n">
        <v>2419</v>
      </c>
      <c r="F28" s="4" t="n">
        <v>2986</v>
      </c>
      <c r="G28" s="5">
        <f>IF(E28=0,"",D28/E28-1)</f>
        <v/>
      </c>
      <c r="H28">
        <f>IF(E28=0,IF(D28&gt;0,"Revisar",""),IF(ABS(G28)&gt;Parámetros!$B$3,"Revisar",""))</f>
        <v/>
      </c>
      <c r="I28" s="6">
        <f>INDEX(Desempeño!$C$4:$C$12,MATCH(C28,Desempeño!$A$4:$A$12,0))</f>
        <v/>
      </c>
      <c r="J28" s="4">
        <f>MAX(0,D28*(1-I28*Parámetros!$B$8))</f>
        <v/>
      </c>
      <c r="K28" s="4">
        <f>D28*(1+I28*Parámetros!$B$8)</f>
        <v/>
      </c>
      <c r="L28">
        <f>INDEX(Desempeño!$H$4:$H$12,MATCH(C28,Desempeño!$A$4:$A$12,0))</f>
        <v/>
      </c>
      <c r="M28">
        <f>INDEX(Desempeño!$G$4:$G$12,MATCH(C28,Desempeño!$A$4:$A$12,0))</f>
        <v/>
      </c>
      <c r="N28" s="7">
        <f>INDEX(Parámetros!$B$13:$B$21,MATCH(C28,Parámetros!$A$13:$A$21,0))</f>
        <v/>
      </c>
      <c r="O28" s="4">
        <f>D28*N28</f>
        <v/>
      </c>
    </row>
    <row r="29">
      <c r="A29" t="inlineStr">
        <is>
          <t>Septiembre 2026</t>
        </is>
      </c>
      <c r="B29" t="inlineStr">
        <is>
          <t>Ibarra</t>
        </is>
      </c>
      <c r="C29" t="inlineStr">
        <is>
          <t>Hanuta</t>
        </is>
      </c>
      <c r="D29" s="4" t="n">
        <v>149.3</v>
      </c>
      <c r="E29" s="4" t="n">
        <v>208</v>
      </c>
      <c r="F29" s="4" t="n">
        <v>124.7</v>
      </c>
      <c r="G29" s="5">
        <f>IF(E29=0,"",D29/E29-1)</f>
        <v/>
      </c>
      <c r="H29">
        <f>IF(E29=0,IF(D29&gt;0,"Revisar",""),IF(ABS(G29)&gt;Parámetros!$B$3,"Revisar",""))</f>
        <v/>
      </c>
      <c r="I29" s="6">
        <f>INDEX(Desempeño!$C$4:$C$12,MATCH(C29,Desempeño!$A$4:$A$12,0))</f>
        <v/>
      </c>
      <c r="J29" s="4">
        <f>MAX(0,D29*(1-I29*Parámetros!$B$8))</f>
        <v/>
      </c>
      <c r="K29" s="4">
        <f>D29*(1+I29*Parámetros!$B$8)</f>
        <v/>
      </c>
      <c r="L29">
        <f>INDEX(Desempeño!$H$4:$H$12,MATCH(C29,Desempeño!$A$4:$A$12,0))</f>
        <v/>
      </c>
      <c r="M29">
        <f>INDEX(Desempeño!$G$4:$G$12,MATCH(C29,Desempeño!$A$4:$A$12,0))</f>
        <v/>
      </c>
      <c r="N29" s="7">
        <f>INDEX(Parámetros!$B$13:$B$21,MATCH(C29,Parámetros!$A$13:$A$21,0))</f>
        <v/>
      </c>
      <c r="O29" s="4">
        <f>D29*N29</f>
        <v/>
      </c>
    </row>
    <row r="30">
      <c r="A30" t="inlineStr">
        <is>
          <t>Septiembre 2026</t>
        </is>
      </c>
      <c r="B30" t="inlineStr">
        <is>
          <t>Ibarra</t>
        </is>
      </c>
      <c r="C30" t="inlineStr">
        <is>
          <t>Kinder Bueno</t>
        </is>
      </c>
      <c r="D30" s="4" t="n">
        <v>336.6</v>
      </c>
      <c r="E30" s="4" t="n">
        <v>290</v>
      </c>
      <c r="F30" s="4" t="n">
        <v>314</v>
      </c>
      <c r="G30" s="5">
        <f>IF(E30=0,"",D30/E30-1)</f>
        <v/>
      </c>
      <c r="H30">
        <f>IF(E30=0,IF(D30&gt;0,"Revisar",""),IF(ABS(G30)&gt;Parámetros!$B$3,"Revisar",""))</f>
        <v/>
      </c>
      <c r="I30" s="6">
        <f>INDEX(Desempeño!$C$4:$C$12,MATCH(C30,Desempeño!$A$4:$A$12,0))</f>
        <v/>
      </c>
      <c r="J30" s="4">
        <f>MAX(0,D30*(1-I30*Parámetros!$B$8))</f>
        <v/>
      </c>
      <c r="K30" s="4">
        <f>D30*(1+I30*Parámetros!$B$8)</f>
        <v/>
      </c>
      <c r="L30">
        <f>INDEX(Desempeño!$H$4:$H$12,MATCH(C30,Desempeño!$A$4:$A$12,0))</f>
        <v/>
      </c>
      <c r="M30">
        <f>INDEX(Desempeño!$G$4:$G$12,MATCH(C30,Desempeño!$A$4:$A$12,0))</f>
        <v/>
      </c>
      <c r="N30" s="7">
        <f>INDEX(Parámetros!$B$13:$B$21,MATCH(C30,Parámetros!$A$13:$A$21,0))</f>
        <v/>
      </c>
      <c r="O30" s="4">
        <f>D30*N30</f>
        <v/>
      </c>
    </row>
    <row r="31">
      <c r="A31" t="inlineStr">
        <is>
          <t>Septiembre 2026</t>
        </is>
      </c>
      <c r="B31" t="inlineStr">
        <is>
          <t>Ibarra</t>
        </is>
      </c>
      <c r="C31" t="inlineStr">
        <is>
          <t>Kinder Chocolate</t>
        </is>
      </c>
      <c r="D31" s="4" t="n">
        <v>57.9</v>
      </c>
      <c r="E31" s="4" t="n">
        <v>53</v>
      </c>
      <c r="F31" s="4" t="n">
        <v>53.3</v>
      </c>
      <c r="G31" s="5">
        <f>IF(E31=0,"",D31/E31-1)</f>
        <v/>
      </c>
      <c r="H31">
        <f>IF(E31=0,IF(D31&gt;0,"Revisar",""),IF(ABS(G31)&gt;Parámetros!$B$3,"Revisar",""))</f>
        <v/>
      </c>
      <c r="I31" s="6">
        <f>INDEX(Desempeño!$C$4:$C$12,MATCH(C31,Desempeño!$A$4:$A$12,0))</f>
        <v/>
      </c>
      <c r="J31" s="4">
        <f>MAX(0,D31*(1-I31*Parámetros!$B$8))</f>
        <v/>
      </c>
      <c r="K31" s="4">
        <f>D31*(1+I31*Parámetros!$B$8)</f>
        <v/>
      </c>
      <c r="L31">
        <f>INDEX(Desempeño!$H$4:$H$12,MATCH(C31,Desempeño!$A$4:$A$12,0))</f>
        <v/>
      </c>
      <c r="M31">
        <f>INDEX(Desempeño!$G$4:$G$12,MATCH(C31,Desempeño!$A$4:$A$12,0))</f>
        <v/>
      </c>
      <c r="N31" s="7">
        <f>INDEX(Parámetros!$B$13:$B$21,MATCH(C31,Parámetros!$A$13:$A$21,0))</f>
        <v/>
      </c>
      <c r="O31" s="4">
        <f>D31*N31</f>
        <v/>
      </c>
    </row>
    <row r="32">
      <c r="A32" t="inlineStr">
        <is>
          <t>Septiembre 2026</t>
        </is>
      </c>
      <c r="B32" t="inlineStr">
        <is>
          <t>Ibarra</t>
        </is>
      </c>
      <c r="C32" t="inlineStr">
        <is>
          <t>Kinder Joy</t>
        </is>
      </c>
      <c r="D32" s="4" t="n">
        <v>934.9</v>
      </c>
      <c r="E32" s="4" t="n">
        <v>623</v>
      </c>
      <c r="F32" s="4" t="n">
        <v>999</v>
      </c>
      <c r="G32" s="5">
        <f>IF(E32=0,"",D32/E32-1)</f>
        <v/>
      </c>
      <c r="H32">
        <f>IF(E32=0,IF(D32&gt;0,"Revisar",""),IF(ABS(G32)&gt;Parámetros!$B$3,"Revisar",""))</f>
        <v/>
      </c>
      <c r="I32" s="6">
        <f>INDEX(Desempeño!$C$4:$C$12,MATCH(C32,Desempeño!$A$4:$A$12,0))</f>
        <v/>
      </c>
      <c r="J32" s="4">
        <f>MAX(0,D32*(1-I32*Parámetros!$B$8))</f>
        <v/>
      </c>
      <c r="K32" s="4">
        <f>D32*(1+I32*Parámetros!$B$8)</f>
        <v/>
      </c>
      <c r="L32">
        <f>INDEX(Desempeño!$H$4:$H$12,MATCH(C32,Desempeño!$A$4:$A$12,0))</f>
        <v/>
      </c>
      <c r="M32">
        <f>INDEX(Desempeño!$G$4:$G$12,MATCH(C32,Desempeño!$A$4:$A$12,0))</f>
        <v/>
      </c>
      <c r="N32" s="7">
        <f>INDEX(Parámetros!$B$13:$B$21,MATCH(C32,Parámetros!$A$13:$A$21,0))</f>
        <v/>
      </c>
      <c r="O32" s="4">
        <f>D32*N32</f>
        <v/>
      </c>
    </row>
    <row r="33">
      <c r="A33" t="inlineStr">
        <is>
          <t>Septiembre 2026</t>
        </is>
      </c>
      <c r="B33" t="inlineStr">
        <is>
          <t>Ibarra</t>
        </is>
      </c>
      <c r="C33" t="inlineStr">
        <is>
          <t>Noggy</t>
        </is>
      </c>
      <c r="D33" s="4" t="n">
        <v>578.6</v>
      </c>
      <c r="E33" s="4" t="n">
        <v>600</v>
      </c>
      <c r="F33" s="4" t="n">
        <v>606.7</v>
      </c>
      <c r="G33" s="5">
        <f>IF(E33=0,"",D33/E33-1)</f>
        <v/>
      </c>
      <c r="H33">
        <f>IF(E33=0,IF(D33&gt;0,"Revisar",""),IF(ABS(G33)&gt;Parámetros!$B$3,"Revisar",""))</f>
        <v/>
      </c>
      <c r="I33" s="6">
        <f>INDEX(Desempeño!$C$4:$C$12,MATCH(C33,Desempeño!$A$4:$A$12,0))</f>
        <v/>
      </c>
      <c r="J33" s="4">
        <f>MAX(0,D33*(1-I33*Parámetros!$B$8))</f>
        <v/>
      </c>
      <c r="K33" s="4">
        <f>D33*(1+I33*Parámetros!$B$8)</f>
        <v/>
      </c>
      <c r="L33">
        <f>INDEX(Desempeño!$H$4:$H$12,MATCH(C33,Desempeño!$A$4:$A$12,0))</f>
        <v/>
      </c>
      <c r="M33">
        <f>INDEX(Desempeño!$G$4:$G$12,MATCH(C33,Desempeño!$A$4:$A$12,0))</f>
        <v/>
      </c>
      <c r="N33" s="7">
        <f>INDEX(Parámetros!$B$13:$B$21,MATCH(C33,Parámetros!$A$13:$A$21,0))</f>
        <v/>
      </c>
      <c r="O33" s="4">
        <f>D33*N33</f>
        <v/>
      </c>
    </row>
    <row r="34">
      <c r="A34" t="inlineStr">
        <is>
          <t>Septiembre 2026</t>
        </is>
      </c>
      <c r="B34" t="inlineStr">
        <is>
          <t>Ibarra</t>
        </is>
      </c>
      <c r="C34" t="inlineStr">
        <is>
          <t>Nutella</t>
        </is>
      </c>
      <c r="D34" s="4" t="n">
        <v>780.9</v>
      </c>
      <c r="E34" s="4" t="n">
        <v>677</v>
      </c>
      <c r="F34" s="4" t="n">
        <v>790.3</v>
      </c>
      <c r="G34" s="5">
        <f>IF(E34=0,"",D34/E34-1)</f>
        <v/>
      </c>
      <c r="H34">
        <f>IF(E34=0,IF(D34&gt;0,"Revisar",""),IF(ABS(G34)&gt;Parámetros!$B$3,"Revisar",""))</f>
        <v/>
      </c>
      <c r="I34" s="6">
        <f>INDEX(Desempeño!$C$4:$C$12,MATCH(C34,Desempeño!$A$4:$A$12,0))</f>
        <v/>
      </c>
      <c r="J34" s="4">
        <f>MAX(0,D34*(1-I34*Parámetros!$B$8))</f>
        <v/>
      </c>
      <c r="K34" s="4">
        <f>D34*(1+I34*Parámetros!$B$8)</f>
        <v/>
      </c>
      <c r="L34">
        <f>INDEX(Desempeño!$H$4:$H$12,MATCH(C34,Desempeño!$A$4:$A$12,0))</f>
        <v/>
      </c>
      <c r="M34">
        <f>INDEX(Desempeño!$G$4:$G$12,MATCH(C34,Desempeño!$A$4:$A$12,0))</f>
        <v/>
      </c>
      <c r="N34" s="7">
        <f>INDEX(Parámetros!$B$13:$B$21,MATCH(C34,Parámetros!$A$13:$A$21,0))</f>
        <v/>
      </c>
      <c r="O34" s="4">
        <f>D34*N34</f>
        <v/>
      </c>
    </row>
    <row r="35">
      <c r="A35" t="inlineStr">
        <is>
          <t>Septiembre 2026</t>
        </is>
      </c>
      <c r="B35" t="inlineStr">
        <is>
          <t>Ibarra</t>
        </is>
      </c>
      <c r="C35" t="inlineStr">
        <is>
          <t>Raffaello</t>
        </is>
      </c>
      <c r="D35" s="4" t="n">
        <v>305</v>
      </c>
      <c r="E35" s="4" t="n">
        <v>311</v>
      </c>
      <c r="F35" s="4" t="n">
        <v>291.3</v>
      </c>
      <c r="G35" s="5">
        <f>IF(E35=0,"",D35/E35-1)</f>
        <v/>
      </c>
      <c r="H35">
        <f>IF(E35=0,IF(D35&gt;0,"Revisar",""),IF(ABS(G35)&gt;Parámetros!$B$3,"Revisar",""))</f>
        <v/>
      </c>
      <c r="I35" s="6">
        <f>INDEX(Desempeño!$C$4:$C$12,MATCH(C35,Desempeño!$A$4:$A$12,0))</f>
        <v/>
      </c>
      <c r="J35" s="4">
        <f>MAX(0,D35*(1-I35*Parámetros!$B$8))</f>
        <v/>
      </c>
      <c r="K35" s="4">
        <f>D35*(1+I35*Parámetros!$B$8)</f>
        <v/>
      </c>
      <c r="L35">
        <f>INDEX(Desempeño!$H$4:$H$12,MATCH(C35,Desempeño!$A$4:$A$12,0))</f>
        <v/>
      </c>
      <c r="M35">
        <f>INDEX(Desempeño!$G$4:$G$12,MATCH(C35,Desempeño!$A$4:$A$12,0))</f>
        <v/>
      </c>
      <c r="N35" s="7">
        <f>INDEX(Parámetros!$B$13:$B$21,MATCH(C35,Parámetros!$A$13:$A$21,0))</f>
        <v/>
      </c>
      <c r="O35" s="4">
        <f>D35*N35</f>
        <v/>
      </c>
    </row>
    <row r="36">
      <c r="A36" t="inlineStr">
        <is>
          <t>Septiembre 2026</t>
        </is>
      </c>
      <c r="B36" t="inlineStr">
        <is>
          <t>Ibarra</t>
        </is>
      </c>
      <c r="C36" t="inlineStr">
        <is>
          <t>Rocher</t>
        </is>
      </c>
      <c r="D36" s="4" t="n">
        <v>857.8</v>
      </c>
      <c r="E36" s="4" t="n">
        <v>893</v>
      </c>
      <c r="F36" s="4" t="n">
        <v>770.3</v>
      </c>
      <c r="G36" s="5">
        <f>IF(E36=0,"",D36/E36-1)</f>
        <v/>
      </c>
      <c r="H36">
        <f>IF(E36=0,IF(D36&gt;0,"Revisar",""),IF(ABS(G36)&gt;Parámetros!$B$3,"Revisar",""))</f>
        <v/>
      </c>
      <c r="I36" s="6">
        <f>INDEX(Desempeño!$C$4:$C$12,MATCH(C36,Desempeño!$A$4:$A$12,0))</f>
        <v/>
      </c>
      <c r="J36" s="4">
        <f>MAX(0,D36*(1-I36*Parámetros!$B$8))</f>
        <v/>
      </c>
      <c r="K36" s="4">
        <f>D36*(1+I36*Parámetros!$B$8)</f>
        <v/>
      </c>
      <c r="L36">
        <f>INDEX(Desempeño!$H$4:$H$12,MATCH(C36,Desempeño!$A$4:$A$12,0))</f>
        <v/>
      </c>
      <c r="M36">
        <f>INDEX(Desempeño!$G$4:$G$12,MATCH(C36,Desempeño!$A$4:$A$12,0))</f>
        <v/>
      </c>
      <c r="N36" s="7">
        <f>INDEX(Parámetros!$B$13:$B$21,MATCH(C36,Parámetros!$A$13:$A$21,0))</f>
        <v/>
      </c>
      <c r="O36" s="4">
        <f>D36*N36</f>
        <v/>
      </c>
    </row>
    <row r="37">
      <c r="A37" t="inlineStr">
        <is>
          <t>Septiembre 2026</t>
        </is>
      </c>
      <c r="B37" t="inlineStr">
        <is>
          <t>Ibarra</t>
        </is>
      </c>
      <c r="C37" t="inlineStr">
        <is>
          <t>Tic Tac</t>
        </is>
      </c>
      <c r="D37" s="4" t="n">
        <v>342.7</v>
      </c>
      <c r="E37" s="4" t="n">
        <v>306</v>
      </c>
      <c r="F37" s="4" t="n">
        <v>338.7</v>
      </c>
      <c r="G37" s="5">
        <f>IF(E37=0,"",D37/E37-1)</f>
        <v/>
      </c>
      <c r="H37">
        <f>IF(E37=0,IF(D37&gt;0,"Revisar",""),IF(ABS(G37)&gt;Parámetros!$B$3,"Revisar",""))</f>
        <v/>
      </c>
      <c r="I37" s="6">
        <f>INDEX(Desempeño!$C$4:$C$12,MATCH(C37,Desempeño!$A$4:$A$12,0))</f>
        <v/>
      </c>
      <c r="J37" s="4">
        <f>MAX(0,D37*(1-I37*Parámetros!$B$8))</f>
        <v/>
      </c>
      <c r="K37" s="4">
        <f>D37*(1+I37*Parámetros!$B$8)</f>
        <v/>
      </c>
      <c r="L37">
        <f>INDEX(Desempeño!$H$4:$H$12,MATCH(C37,Desempeño!$A$4:$A$12,0))</f>
        <v/>
      </c>
      <c r="M37">
        <f>INDEX(Desempeño!$G$4:$G$12,MATCH(C37,Desempeño!$A$4:$A$12,0))</f>
        <v/>
      </c>
      <c r="N37" s="7">
        <f>INDEX(Parámetros!$B$13:$B$21,MATCH(C37,Parámetros!$A$13:$A$21,0))</f>
        <v/>
      </c>
      <c r="O37" s="4">
        <f>D37*N37</f>
        <v/>
      </c>
    </row>
    <row r="38">
      <c r="A38" t="inlineStr">
        <is>
          <t>Septiembre 2026</t>
        </is>
      </c>
      <c r="B38" t="inlineStr">
        <is>
          <t>Lago Agrio</t>
        </is>
      </c>
      <c r="C38" t="inlineStr">
        <is>
          <t>Hanuta</t>
        </is>
      </c>
      <c r="D38" s="4" t="n">
        <v>192.2</v>
      </c>
      <c r="E38" s="4" t="n">
        <v>170</v>
      </c>
      <c r="F38" s="4" t="n">
        <v>183</v>
      </c>
      <c r="G38" s="5">
        <f>IF(E38=0,"",D38/E38-1)</f>
        <v/>
      </c>
      <c r="H38">
        <f>IF(E38=0,IF(D38&gt;0,"Revisar",""),IF(ABS(G38)&gt;Parámetros!$B$3,"Revisar",""))</f>
        <v/>
      </c>
      <c r="I38" s="6">
        <f>INDEX(Desempeño!$C$4:$C$12,MATCH(C38,Desempeño!$A$4:$A$12,0))</f>
        <v/>
      </c>
      <c r="J38" s="4">
        <f>MAX(0,D38*(1-I38*Parámetros!$B$8))</f>
        <v/>
      </c>
      <c r="K38" s="4">
        <f>D38*(1+I38*Parámetros!$B$8)</f>
        <v/>
      </c>
      <c r="L38">
        <f>INDEX(Desempeño!$H$4:$H$12,MATCH(C38,Desempeño!$A$4:$A$12,0))</f>
        <v/>
      </c>
      <c r="M38">
        <f>INDEX(Desempeño!$G$4:$G$12,MATCH(C38,Desempeño!$A$4:$A$12,0))</f>
        <v/>
      </c>
      <c r="N38" s="7">
        <f>INDEX(Parámetros!$B$13:$B$21,MATCH(C38,Parámetros!$A$13:$A$21,0))</f>
        <v/>
      </c>
      <c r="O38" s="4">
        <f>D38*N38</f>
        <v/>
      </c>
    </row>
    <row r="39">
      <c r="A39" t="inlineStr">
        <is>
          <t>Septiembre 2026</t>
        </is>
      </c>
      <c r="B39" t="inlineStr">
        <is>
          <t>Lago Agrio</t>
        </is>
      </c>
      <c r="C39" t="inlineStr">
        <is>
          <t>Kinder Bueno</t>
        </is>
      </c>
      <c r="D39" s="4" t="n">
        <v>144.6</v>
      </c>
      <c r="E39" s="4" t="n">
        <v>148</v>
      </c>
      <c r="F39" s="4" t="n">
        <v>121.3</v>
      </c>
      <c r="G39" s="5">
        <f>IF(E39=0,"",D39/E39-1)</f>
        <v/>
      </c>
      <c r="H39">
        <f>IF(E39=0,IF(D39&gt;0,"Revisar",""),IF(ABS(G39)&gt;Parámetros!$B$3,"Revisar",""))</f>
        <v/>
      </c>
      <c r="I39" s="6">
        <f>INDEX(Desempeño!$C$4:$C$12,MATCH(C39,Desempeño!$A$4:$A$12,0))</f>
        <v/>
      </c>
      <c r="J39" s="4">
        <f>MAX(0,D39*(1-I39*Parámetros!$B$8))</f>
        <v/>
      </c>
      <c r="K39" s="4">
        <f>D39*(1+I39*Parámetros!$B$8)</f>
        <v/>
      </c>
      <c r="L39">
        <f>INDEX(Desempeño!$H$4:$H$12,MATCH(C39,Desempeño!$A$4:$A$12,0))</f>
        <v/>
      </c>
      <c r="M39">
        <f>INDEX(Desempeño!$G$4:$G$12,MATCH(C39,Desempeño!$A$4:$A$12,0))</f>
        <v/>
      </c>
      <c r="N39" s="7">
        <f>INDEX(Parámetros!$B$13:$B$21,MATCH(C39,Parámetros!$A$13:$A$21,0))</f>
        <v/>
      </c>
      <c r="O39" s="4">
        <f>D39*N39</f>
        <v/>
      </c>
    </row>
    <row r="40">
      <c r="A40" t="inlineStr">
        <is>
          <t>Septiembre 2026</t>
        </is>
      </c>
      <c r="B40" t="inlineStr">
        <is>
          <t>Lago Agrio</t>
        </is>
      </c>
      <c r="C40" t="inlineStr">
        <is>
          <t>Kinder Chocolate</t>
        </is>
      </c>
      <c r="D40" s="4" t="n">
        <v>14.4</v>
      </c>
      <c r="E40" s="4" t="n">
        <v>15</v>
      </c>
      <c r="F40" s="4" t="n">
        <v>12.3</v>
      </c>
      <c r="G40" s="5">
        <f>IF(E40=0,"",D40/E40-1)</f>
        <v/>
      </c>
      <c r="H40">
        <f>IF(E40=0,IF(D40&gt;0,"Revisar",""),IF(ABS(G40)&gt;Parámetros!$B$3,"Revisar",""))</f>
        <v/>
      </c>
      <c r="I40" s="6">
        <f>INDEX(Desempeño!$C$4:$C$12,MATCH(C40,Desempeño!$A$4:$A$12,0))</f>
        <v/>
      </c>
      <c r="J40" s="4">
        <f>MAX(0,D40*(1-I40*Parámetros!$B$8))</f>
        <v/>
      </c>
      <c r="K40" s="4">
        <f>D40*(1+I40*Parámetros!$B$8)</f>
        <v/>
      </c>
      <c r="L40">
        <f>INDEX(Desempeño!$H$4:$H$12,MATCH(C40,Desempeño!$A$4:$A$12,0))</f>
        <v/>
      </c>
      <c r="M40">
        <f>INDEX(Desempeño!$G$4:$G$12,MATCH(C40,Desempeño!$A$4:$A$12,0))</f>
        <v/>
      </c>
      <c r="N40" s="7">
        <f>INDEX(Parámetros!$B$13:$B$21,MATCH(C40,Parámetros!$A$13:$A$21,0))</f>
        <v/>
      </c>
      <c r="O40" s="4">
        <f>D40*N40</f>
        <v/>
      </c>
    </row>
    <row r="41">
      <c r="A41" t="inlineStr">
        <is>
          <t>Septiembre 2026</t>
        </is>
      </c>
      <c r="B41" t="inlineStr">
        <is>
          <t>Lago Agrio</t>
        </is>
      </c>
      <c r="C41" t="inlineStr">
        <is>
          <t>Kinder Joy</t>
        </is>
      </c>
      <c r="D41" s="4" t="n">
        <v>1507.6</v>
      </c>
      <c r="E41" s="4" t="n">
        <v>1151</v>
      </c>
      <c r="F41" s="4" t="n">
        <v>1452.3</v>
      </c>
      <c r="G41" s="5">
        <f>IF(E41=0,"",D41/E41-1)</f>
        <v/>
      </c>
      <c r="H41">
        <f>IF(E41=0,IF(D41&gt;0,"Revisar",""),IF(ABS(G41)&gt;Parámetros!$B$3,"Revisar",""))</f>
        <v/>
      </c>
      <c r="I41" s="6">
        <f>INDEX(Desempeño!$C$4:$C$12,MATCH(C41,Desempeño!$A$4:$A$12,0))</f>
        <v/>
      </c>
      <c r="J41" s="4">
        <f>MAX(0,D41*(1-I41*Parámetros!$B$8))</f>
        <v/>
      </c>
      <c r="K41" s="4">
        <f>D41*(1+I41*Parámetros!$B$8)</f>
        <v/>
      </c>
      <c r="L41">
        <f>INDEX(Desempeño!$H$4:$H$12,MATCH(C41,Desempeño!$A$4:$A$12,0))</f>
        <v/>
      </c>
      <c r="M41">
        <f>INDEX(Desempeño!$G$4:$G$12,MATCH(C41,Desempeño!$A$4:$A$12,0))</f>
        <v/>
      </c>
      <c r="N41" s="7">
        <f>INDEX(Parámetros!$B$13:$B$21,MATCH(C41,Parámetros!$A$13:$A$21,0))</f>
        <v/>
      </c>
      <c r="O41" s="4">
        <f>D41*N41</f>
        <v/>
      </c>
    </row>
    <row r="42">
      <c r="A42" t="inlineStr">
        <is>
          <t>Septiembre 2026</t>
        </is>
      </c>
      <c r="B42" t="inlineStr">
        <is>
          <t>Lago Agrio</t>
        </is>
      </c>
      <c r="C42" t="inlineStr">
        <is>
          <t>Noggy</t>
        </is>
      </c>
      <c r="D42" s="4" t="n">
        <v>544.8</v>
      </c>
      <c r="E42" s="4" t="n">
        <v>864</v>
      </c>
      <c r="F42" s="4" t="n">
        <v>501.3</v>
      </c>
      <c r="G42" s="5">
        <f>IF(E42=0,"",D42/E42-1)</f>
        <v/>
      </c>
      <c r="H42">
        <f>IF(E42=0,IF(D42&gt;0,"Revisar",""),IF(ABS(G42)&gt;Parámetros!$B$3,"Revisar",""))</f>
        <v/>
      </c>
      <c r="I42" s="6">
        <f>INDEX(Desempeño!$C$4:$C$12,MATCH(C42,Desempeño!$A$4:$A$12,0))</f>
        <v/>
      </c>
      <c r="J42" s="4">
        <f>MAX(0,D42*(1-I42*Parámetros!$B$8))</f>
        <v/>
      </c>
      <c r="K42" s="4">
        <f>D42*(1+I42*Parámetros!$B$8)</f>
        <v/>
      </c>
      <c r="L42">
        <f>INDEX(Desempeño!$H$4:$H$12,MATCH(C42,Desempeño!$A$4:$A$12,0))</f>
        <v/>
      </c>
      <c r="M42">
        <f>INDEX(Desempeño!$G$4:$G$12,MATCH(C42,Desempeño!$A$4:$A$12,0))</f>
        <v/>
      </c>
      <c r="N42" s="7">
        <f>INDEX(Parámetros!$B$13:$B$21,MATCH(C42,Parámetros!$A$13:$A$21,0))</f>
        <v/>
      </c>
      <c r="O42" s="4">
        <f>D42*N42</f>
        <v/>
      </c>
    </row>
    <row r="43">
      <c r="A43" t="inlineStr">
        <is>
          <t>Septiembre 2026</t>
        </is>
      </c>
      <c r="B43" t="inlineStr">
        <is>
          <t>Lago Agrio</t>
        </is>
      </c>
      <c r="C43" t="inlineStr">
        <is>
          <t>Nutella</t>
        </is>
      </c>
      <c r="D43" s="4" t="n">
        <v>1910</v>
      </c>
      <c r="E43" s="4" t="n">
        <v>1834</v>
      </c>
      <c r="F43" s="4" t="n">
        <v>1772.7</v>
      </c>
      <c r="G43" s="5">
        <f>IF(E43=0,"",D43/E43-1)</f>
        <v/>
      </c>
      <c r="H43">
        <f>IF(E43=0,IF(D43&gt;0,"Revisar",""),IF(ABS(G43)&gt;Parámetros!$B$3,"Revisar",""))</f>
        <v/>
      </c>
      <c r="I43" s="6">
        <f>INDEX(Desempeño!$C$4:$C$12,MATCH(C43,Desempeño!$A$4:$A$12,0))</f>
        <v/>
      </c>
      <c r="J43" s="4">
        <f>MAX(0,D43*(1-I43*Parámetros!$B$8))</f>
        <v/>
      </c>
      <c r="K43" s="4">
        <f>D43*(1+I43*Parámetros!$B$8)</f>
        <v/>
      </c>
      <c r="L43">
        <f>INDEX(Desempeño!$H$4:$H$12,MATCH(C43,Desempeño!$A$4:$A$12,0))</f>
        <v/>
      </c>
      <c r="M43">
        <f>INDEX(Desempeño!$G$4:$G$12,MATCH(C43,Desempeño!$A$4:$A$12,0))</f>
        <v/>
      </c>
      <c r="N43" s="7">
        <f>INDEX(Parámetros!$B$13:$B$21,MATCH(C43,Parámetros!$A$13:$A$21,0))</f>
        <v/>
      </c>
      <c r="O43" s="4">
        <f>D43*N43</f>
        <v/>
      </c>
    </row>
    <row r="44">
      <c r="A44" t="inlineStr">
        <is>
          <t>Septiembre 2026</t>
        </is>
      </c>
      <c r="B44" t="inlineStr">
        <is>
          <t>Lago Agrio</t>
        </is>
      </c>
      <c r="C44" t="inlineStr">
        <is>
          <t>Raffaello</t>
        </is>
      </c>
      <c r="D44" s="4" t="n">
        <v>155.9</v>
      </c>
      <c r="E44" s="4" t="n">
        <v>159</v>
      </c>
      <c r="F44" s="4" t="n">
        <v>126.3</v>
      </c>
      <c r="G44" s="5">
        <f>IF(E44=0,"",D44/E44-1)</f>
        <v/>
      </c>
      <c r="H44">
        <f>IF(E44=0,IF(D44&gt;0,"Revisar",""),IF(ABS(G44)&gt;Parámetros!$B$3,"Revisar",""))</f>
        <v/>
      </c>
      <c r="I44" s="6">
        <f>INDEX(Desempeño!$C$4:$C$12,MATCH(C44,Desempeño!$A$4:$A$12,0))</f>
        <v/>
      </c>
      <c r="J44" s="4">
        <f>MAX(0,D44*(1-I44*Parámetros!$B$8))</f>
        <v/>
      </c>
      <c r="K44" s="4">
        <f>D44*(1+I44*Parámetros!$B$8)</f>
        <v/>
      </c>
      <c r="L44">
        <f>INDEX(Desempeño!$H$4:$H$12,MATCH(C44,Desempeño!$A$4:$A$12,0))</f>
        <v/>
      </c>
      <c r="M44">
        <f>INDEX(Desempeño!$G$4:$G$12,MATCH(C44,Desempeño!$A$4:$A$12,0))</f>
        <v/>
      </c>
      <c r="N44" s="7">
        <f>INDEX(Parámetros!$B$13:$B$21,MATCH(C44,Parámetros!$A$13:$A$21,0))</f>
        <v/>
      </c>
      <c r="O44" s="4">
        <f>D44*N44</f>
        <v/>
      </c>
    </row>
    <row r="45">
      <c r="A45" t="inlineStr">
        <is>
          <t>Septiembre 2026</t>
        </is>
      </c>
      <c r="B45" t="inlineStr">
        <is>
          <t>Lago Agrio</t>
        </is>
      </c>
      <c r="C45" t="inlineStr">
        <is>
          <t>Rocher</t>
        </is>
      </c>
      <c r="D45" s="4" t="n">
        <v>1206.3</v>
      </c>
      <c r="E45" s="4" t="n">
        <v>1701</v>
      </c>
      <c r="F45" s="4" t="n">
        <v>1083</v>
      </c>
      <c r="G45" s="5">
        <f>IF(E45=0,"",D45/E45-1)</f>
        <v/>
      </c>
      <c r="H45">
        <f>IF(E45=0,IF(D45&gt;0,"Revisar",""),IF(ABS(G45)&gt;Parámetros!$B$3,"Revisar",""))</f>
        <v/>
      </c>
      <c r="I45" s="6">
        <f>INDEX(Desempeño!$C$4:$C$12,MATCH(C45,Desempeño!$A$4:$A$12,0))</f>
        <v/>
      </c>
      <c r="J45" s="4">
        <f>MAX(0,D45*(1-I45*Parámetros!$B$8))</f>
        <v/>
      </c>
      <c r="K45" s="4">
        <f>D45*(1+I45*Parámetros!$B$8)</f>
        <v/>
      </c>
      <c r="L45">
        <f>INDEX(Desempeño!$H$4:$H$12,MATCH(C45,Desempeño!$A$4:$A$12,0))</f>
        <v/>
      </c>
      <c r="M45">
        <f>INDEX(Desempeño!$G$4:$G$12,MATCH(C45,Desempeño!$A$4:$A$12,0))</f>
        <v/>
      </c>
      <c r="N45" s="7">
        <f>INDEX(Parámetros!$B$13:$B$21,MATCH(C45,Parámetros!$A$13:$A$21,0))</f>
        <v/>
      </c>
      <c r="O45" s="4">
        <f>D45*N45</f>
        <v/>
      </c>
    </row>
    <row r="46">
      <c r="A46" t="inlineStr">
        <is>
          <t>Septiembre 2026</t>
        </is>
      </c>
      <c r="B46" t="inlineStr">
        <is>
          <t>Lago Agrio</t>
        </is>
      </c>
      <c r="C46" t="inlineStr">
        <is>
          <t>Tic Tac</t>
        </is>
      </c>
      <c r="D46" s="4" t="n">
        <v>381.4</v>
      </c>
      <c r="E46" s="4" t="n">
        <v>494</v>
      </c>
      <c r="F46" s="4" t="n">
        <v>365.3</v>
      </c>
      <c r="G46" s="5">
        <f>IF(E46=0,"",D46/E46-1)</f>
        <v/>
      </c>
      <c r="H46">
        <f>IF(E46=0,IF(D46&gt;0,"Revisar",""),IF(ABS(G46)&gt;Parámetros!$B$3,"Revisar",""))</f>
        <v/>
      </c>
      <c r="I46" s="6">
        <f>INDEX(Desempeño!$C$4:$C$12,MATCH(C46,Desempeño!$A$4:$A$12,0))</f>
        <v/>
      </c>
      <c r="J46" s="4">
        <f>MAX(0,D46*(1-I46*Parámetros!$B$8))</f>
        <v/>
      </c>
      <c r="K46" s="4">
        <f>D46*(1+I46*Parámetros!$B$8)</f>
        <v/>
      </c>
      <c r="L46">
        <f>INDEX(Desempeño!$H$4:$H$12,MATCH(C46,Desempeño!$A$4:$A$12,0))</f>
        <v/>
      </c>
      <c r="M46">
        <f>INDEX(Desempeño!$G$4:$G$12,MATCH(C46,Desempeño!$A$4:$A$12,0))</f>
        <v/>
      </c>
      <c r="N46" s="7">
        <f>INDEX(Parámetros!$B$13:$B$21,MATCH(C46,Parámetros!$A$13:$A$21,0))</f>
        <v/>
      </c>
      <c r="O46" s="4">
        <f>D46*N46</f>
        <v/>
      </c>
    </row>
    <row r="47">
      <c r="A47" t="inlineStr">
        <is>
          <t>Septiembre 2026</t>
        </is>
      </c>
      <c r="B47" t="inlineStr">
        <is>
          <t>Manta</t>
        </is>
      </c>
      <c r="C47" t="inlineStr">
        <is>
          <t>Hanuta</t>
        </is>
      </c>
      <c r="D47" s="4" t="n">
        <v>486.5</v>
      </c>
      <c r="E47" s="4" t="n">
        <v>706</v>
      </c>
      <c r="F47" s="4" t="n">
        <v>296.7</v>
      </c>
      <c r="G47" s="5">
        <f>IF(E47=0,"",D47/E47-1)</f>
        <v/>
      </c>
      <c r="H47">
        <f>IF(E47=0,IF(D47&gt;0,"Revisar",""),IF(ABS(G47)&gt;Parámetros!$B$3,"Revisar",""))</f>
        <v/>
      </c>
      <c r="I47" s="6">
        <f>INDEX(Desempeño!$C$4:$C$12,MATCH(C47,Desempeño!$A$4:$A$12,0))</f>
        <v/>
      </c>
      <c r="J47" s="4">
        <f>MAX(0,D47*(1-I47*Parámetros!$B$8))</f>
        <v/>
      </c>
      <c r="K47" s="4">
        <f>D47*(1+I47*Parámetros!$B$8)</f>
        <v/>
      </c>
      <c r="L47">
        <f>INDEX(Desempeño!$H$4:$H$12,MATCH(C47,Desempeño!$A$4:$A$12,0))</f>
        <v/>
      </c>
      <c r="M47">
        <f>INDEX(Desempeño!$G$4:$G$12,MATCH(C47,Desempeño!$A$4:$A$12,0))</f>
        <v/>
      </c>
      <c r="N47" s="7">
        <f>INDEX(Parámetros!$B$13:$B$21,MATCH(C47,Parámetros!$A$13:$A$21,0))</f>
        <v/>
      </c>
      <c r="O47" s="4">
        <f>D47*N47</f>
        <v/>
      </c>
    </row>
    <row r="48">
      <c r="A48" t="inlineStr">
        <is>
          <t>Septiembre 2026</t>
        </is>
      </c>
      <c r="B48" t="inlineStr">
        <is>
          <t>Manta</t>
        </is>
      </c>
      <c r="C48" t="inlineStr">
        <is>
          <t>Kinder Bueno</t>
        </is>
      </c>
      <c r="D48" s="4" t="n">
        <v>328.5</v>
      </c>
      <c r="E48" s="4" t="n">
        <v>226</v>
      </c>
      <c r="F48" s="4" t="n">
        <v>280</v>
      </c>
      <c r="G48" s="5">
        <f>IF(E48=0,"",D48/E48-1)</f>
        <v/>
      </c>
      <c r="H48">
        <f>IF(E48=0,IF(D48&gt;0,"Revisar",""),IF(ABS(G48)&gt;Parámetros!$B$3,"Revisar",""))</f>
        <v/>
      </c>
      <c r="I48" s="6">
        <f>INDEX(Desempeño!$C$4:$C$12,MATCH(C48,Desempeño!$A$4:$A$12,0))</f>
        <v/>
      </c>
      <c r="J48" s="4">
        <f>MAX(0,D48*(1-I48*Parámetros!$B$8))</f>
        <v/>
      </c>
      <c r="K48" s="4">
        <f>D48*(1+I48*Parámetros!$B$8)</f>
        <v/>
      </c>
      <c r="L48">
        <f>INDEX(Desempeño!$H$4:$H$12,MATCH(C48,Desempeño!$A$4:$A$12,0))</f>
        <v/>
      </c>
      <c r="M48">
        <f>INDEX(Desempeño!$G$4:$G$12,MATCH(C48,Desempeño!$A$4:$A$12,0))</f>
        <v/>
      </c>
      <c r="N48" s="7">
        <f>INDEX(Parámetros!$B$13:$B$21,MATCH(C48,Parámetros!$A$13:$A$21,0))</f>
        <v/>
      </c>
      <c r="O48" s="4">
        <f>D48*N48</f>
        <v/>
      </c>
    </row>
    <row r="49">
      <c r="A49" t="inlineStr">
        <is>
          <t>Septiembre 2026</t>
        </is>
      </c>
      <c r="B49" t="inlineStr">
        <is>
          <t>Manta</t>
        </is>
      </c>
      <c r="C49" t="inlineStr">
        <is>
          <t>Kinder Chocolate</t>
        </is>
      </c>
      <c r="D49" s="4" t="n">
        <v>54.3</v>
      </c>
      <c r="E49" s="4" t="n">
        <v>41</v>
      </c>
      <c r="F49" s="4" t="n">
        <v>26.7</v>
      </c>
      <c r="G49" s="5">
        <f>IF(E49=0,"",D49/E49-1)</f>
        <v/>
      </c>
      <c r="H49">
        <f>IF(E49=0,IF(D49&gt;0,"Revisar",""),IF(ABS(G49)&gt;Parámetros!$B$3,"Revisar",""))</f>
        <v/>
      </c>
      <c r="I49" s="6">
        <f>INDEX(Desempeño!$C$4:$C$12,MATCH(C49,Desempeño!$A$4:$A$12,0))</f>
        <v/>
      </c>
      <c r="J49" s="4">
        <f>MAX(0,D49*(1-I49*Parámetros!$B$8))</f>
        <v/>
      </c>
      <c r="K49" s="4">
        <f>D49*(1+I49*Parámetros!$B$8)</f>
        <v/>
      </c>
      <c r="L49">
        <f>INDEX(Desempeño!$H$4:$H$12,MATCH(C49,Desempeño!$A$4:$A$12,0))</f>
        <v/>
      </c>
      <c r="M49">
        <f>INDEX(Desempeño!$G$4:$G$12,MATCH(C49,Desempeño!$A$4:$A$12,0))</f>
        <v/>
      </c>
      <c r="N49" s="7">
        <f>INDEX(Parámetros!$B$13:$B$21,MATCH(C49,Parámetros!$A$13:$A$21,0))</f>
        <v/>
      </c>
      <c r="O49" s="4">
        <f>D49*N49</f>
        <v/>
      </c>
    </row>
    <row r="50">
      <c r="A50" t="inlineStr">
        <is>
          <t>Septiembre 2026</t>
        </is>
      </c>
      <c r="B50" t="inlineStr">
        <is>
          <t>Manta</t>
        </is>
      </c>
      <c r="C50" t="inlineStr">
        <is>
          <t>Kinder Joy</t>
        </is>
      </c>
      <c r="D50" s="4" t="n">
        <v>1383.6</v>
      </c>
      <c r="E50" s="4" t="n">
        <v>1502</v>
      </c>
      <c r="F50" s="4" t="n">
        <v>1361.3</v>
      </c>
      <c r="G50" s="5">
        <f>IF(E50=0,"",D50/E50-1)</f>
        <v/>
      </c>
      <c r="H50">
        <f>IF(E50=0,IF(D50&gt;0,"Revisar",""),IF(ABS(G50)&gt;Parámetros!$B$3,"Revisar",""))</f>
        <v/>
      </c>
      <c r="I50" s="6">
        <f>INDEX(Desempeño!$C$4:$C$12,MATCH(C50,Desempeño!$A$4:$A$12,0))</f>
        <v/>
      </c>
      <c r="J50" s="4">
        <f>MAX(0,D50*(1-I50*Parámetros!$B$8))</f>
        <v/>
      </c>
      <c r="K50" s="4">
        <f>D50*(1+I50*Parámetros!$B$8)</f>
        <v/>
      </c>
      <c r="L50">
        <f>INDEX(Desempeño!$H$4:$H$12,MATCH(C50,Desempeño!$A$4:$A$12,0))</f>
        <v/>
      </c>
      <c r="M50">
        <f>INDEX(Desempeño!$G$4:$G$12,MATCH(C50,Desempeño!$A$4:$A$12,0))</f>
        <v/>
      </c>
      <c r="N50" s="7">
        <f>INDEX(Parámetros!$B$13:$B$21,MATCH(C50,Parámetros!$A$13:$A$21,0))</f>
        <v/>
      </c>
      <c r="O50" s="4">
        <f>D50*N50</f>
        <v/>
      </c>
    </row>
    <row r="51">
      <c r="A51" t="inlineStr">
        <is>
          <t>Septiembre 2026</t>
        </is>
      </c>
      <c r="B51" t="inlineStr">
        <is>
          <t>Manta</t>
        </is>
      </c>
      <c r="C51" t="inlineStr">
        <is>
          <t>Noggy</t>
        </is>
      </c>
      <c r="D51" s="4" t="n">
        <v>576.3</v>
      </c>
      <c r="E51" s="4" t="n">
        <v>767</v>
      </c>
      <c r="F51" s="4" t="n">
        <v>496</v>
      </c>
      <c r="G51" s="5">
        <f>IF(E51=0,"",D51/E51-1)</f>
        <v/>
      </c>
      <c r="H51">
        <f>IF(E51=0,IF(D51&gt;0,"Revisar",""),IF(ABS(G51)&gt;Parámetros!$B$3,"Revisar",""))</f>
        <v/>
      </c>
      <c r="I51" s="6">
        <f>INDEX(Desempeño!$C$4:$C$12,MATCH(C51,Desempeño!$A$4:$A$12,0))</f>
        <v/>
      </c>
      <c r="J51" s="4">
        <f>MAX(0,D51*(1-I51*Parámetros!$B$8))</f>
        <v/>
      </c>
      <c r="K51" s="4">
        <f>D51*(1+I51*Parámetros!$B$8)</f>
        <v/>
      </c>
      <c r="L51">
        <f>INDEX(Desempeño!$H$4:$H$12,MATCH(C51,Desempeño!$A$4:$A$12,0))</f>
        <v/>
      </c>
      <c r="M51">
        <f>INDEX(Desempeño!$G$4:$G$12,MATCH(C51,Desempeño!$A$4:$A$12,0))</f>
        <v/>
      </c>
      <c r="N51" s="7">
        <f>INDEX(Parámetros!$B$13:$B$21,MATCH(C51,Parámetros!$A$13:$A$21,0))</f>
        <v/>
      </c>
      <c r="O51" s="4">
        <f>D51*N51</f>
        <v/>
      </c>
    </row>
    <row r="52">
      <c r="A52" t="inlineStr">
        <is>
          <t>Septiembre 2026</t>
        </is>
      </c>
      <c r="B52" t="inlineStr">
        <is>
          <t>Manta</t>
        </is>
      </c>
      <c r="C52" t="inlineStr">
        <is>
          <t>Nutella</t>
        </is>
      </c>
      <c r="D52" s="4" t="n">
        <v>1462.1</v>
      </c>
      <c r="E52" s="4" t="n">
        <v>1466</v>
      </c>
      <c r="F52" s="4" t="n">
        <v>1453.7</v>
      </c>
      <c r="G52" s="5">
        <f>IF(E52=0,"",D52/E52-1)</f>
        <v/>
      </c>
      <c r="H52">
        <f>IF(E52=0,IF(D52&gt;0,"Revisar",""),IF(ABS(G52)&gt;Parámetros!$B$3,"Revisar",""))</f>
        <v/>
      </c>
      <c r="I52" s="6">
        <f>INDEX(Desempeño!$C$4:$C$12,MATCH(C52,Desempeño!$A$4:$A$12,0))</f>
        <v/>
      </c>
      <c r="J52" s="4">
        <f>MAX(0,D52*(1-I52*Parámetros!$B$8))</f>
        <v/>
      </c>
      <c r="K52" s="4">
        <f>D52*(1+I52*Parámetros!$B$8)</f>
        <v/>
      </c>
      <c r="L52">
        <f>INDEX(Desempeño!$H$4:$H$12,MATCH(C52,Desempeño!$A$4:$A$12,0))</f>
        <v/>
      </c>
      <c r="M52">
        <f>INDEX(Desempeño!$G$4:$G$12,MATCH(C52,Desempeño!$A$4:$A$12,0))</f>
        <v/>
      </c>
      <c r="N52" s="7">
        <f>INDEX(Parámetros!$B$13:$B$21,MATCH(C52,Parámetros!$A$13:$A$21,0))</f>
        <v/>
      </c>
      <c r="O52" s="4">
        <f>D52*N52</f>
        <v/>
      </c>
    </row>
    <row r="53">
      <c r="A53" t="inlineStr">
        <is>
          <t>Septiembre 2026</t>
        </is>
      </c>
      <c r="B53" t="inlineStr">
        <is>
          <t>Manta</t>
        </is>
      </c>
      <c r="C53" t="inlineStr">
        <is>
          <t>Raffaello</t>
        </is>
      </c>
      <c r="D53" s="4" t="n">
        <v>227.6</v>
      </c>
      <c r="E53" s="4" t="n">
        <v>304</v>
      </c>
      <c r="F53" s="4" t="n">
        <v>217.7</v>
      </c>
      <c r="G53" s="5">
        <f>IF(E53=0,"",D53/E53-1)</f>
        <v/>
      </c>
      <c r="H53">
        <f>IF(E53=0,IF(D53&gt;0,"Revisar",""),IF(ABS(G53)&gt;Parámetros!$B$3,"Revisar",""))</f>
        <v/>
      </c>
      <c r="I53" s="6">
        <f>INDEX(Desempeño!$C$4:$C$12,MATCH(C53,Desempeño!$A$4:$A$12,0))</f>
        <v/>
      </c>
      <c r="J53" s="4">
        <f>MAX(0,D53*(1-I53*Parámetros!$B$8))</f>
        <v/>
      </c>
      <c r="K53" s="4">
        <f>D53*(1+I53*Parámetros!$B$8)</f>
        <v/>
      </c>
      <c r="L53">
        <f>INDEX(Desempeño!$H$4:$H$12,MATCH(C53,Desempeño!$A$4:$A$12,0))</f>
        <v/>
      </c>
      <c r="M53">
        <f>INDEX(Desempeño!$G$4:$G$12,MATCH(C53,Desempeño!$A$4:$A$12,0))</f>
        <v/>
      </c>
      <c r="N53" s="7">
        <f>INDEX(Parámetros!$B$13:$B$21,MATCH(C53,Parámetros!$A$13:$A$21,0))</f>
        <v/>
      </c>
      <c r="O53" s="4">
        <f>D53*N53</f>
        <v/>
      </c>
    </row>
    <row r="54">
      <c r="A54" t="inlineStr">
        <is>
          <t>Septiembre 2026</t>
        </is>
      </c>
      <c r="B54" t="inlineStr">
        <is>
          <t>Manta</t>
        </is>
      </c>
      <c r="C54" t="inlineStr">
        <is>
          <t>Rocher</t>
        </is>
      </c>
      <c r="D54" s="4" t="n">
        <v>1618.5</v>
      </c>
      <c r="E54" s="4" t="n">
        <v>2042</v>
      </c>
      <c r="F54" s="4" t="n">
        <v>1222.7</v>
      </c>
      <c r="G54" s="5">
        <f>IF(E54=0,"",D54/E54-1)</f>
        <v/>
      </c>
      <c r="H54">
        <f>IF(E54=0,IF(D54&gt;0,"Revisar",""),IF(ABS(G54)&gt;Parámetros!$B$3,"Revisar",""))</f>
        <v/>
      </c>
      <c r="I54" s="6">
        <f>INDEX(Desempeño!$C$4:$C$12,MATCH(C54,Desempeño!$A$4:$A$12,0))</f>
        <v/>
      </c>
      <c r="J54" s="4">
        <f>MAX(0,D54*(1-I54*Parámetros!$B$8))</f>
        <v/>
      </c>
      <c r="K54" s="4">
        <f>D54*(1+I54*Parámetros!$B$8)</f>
        <v/>
      </c>
      <c r="L54">
        <f>INDEX(Desempeño!$H$4:$H$12,MATCH(C54,Desempeño!$A$4:$A$12,0))</f>
        <v/>
      </c>
      <c r="M54">
        <f>INDEX(Desempeño!$G$4:$G$12,MATCH(C54,Desempeño!$A$4:$A$12,0))</f>
        <v/>
      </c>
      <c r="N54" s="7">
        <f>INDEX(Parámetros!$B$13:$B$21,MATCH(C54,Parámetros!$A$13:$A$21,0))</f>
        <v/>
      </c>
      <c r="O54" s="4">
        <f>D54*N54</f>
        <v/>
      </c>
    </row>
    <row r="55">
      <c r="A55" t="inlineStr">
        <is>
          <t>Septiembre 2026</t>
        </is>
      </c>
      <c r="B55" t="inlineStr">
        <is>
          <t>Manta</t>
        </is>
      </c>
      <c r="C55" t="inlineStr">
        <is>
          <t>Tic Tac</t>
        </is>
      </c>
      <c r="D55" s="4" t="n">
        <v>827.5</v>
      </c>
      <c r="E55" s="4" t="n">
        <v>775</v>
      </c>
      <c r="F55" s="4" t="n">
        <v>749.7</v>
      </c>
      <c r="G55" s="5">
        <f>IF(E55=0,"",D55/E55-1)</f>
        <v/>
      </c>
      <c r="H55">
        <f>IF(E55=0,IF(D55&gt;0,"Revisar",""),IF(ABS(G55)&gt;Parámetros!$B$3,"Revisar",""))</f>
        <v/>
      </c>
      <c r="I55" s="6">
        <f>INDEX(Desempeño!$C$4:$C$12,MATCH(C55,Desempeño!$A$4:$A$12,0))</f>
        <v/>
      </c>
      <c r="J55" s="4">
        <f>MAX(0,D55*(1-I55*Parámetros!$B$8))</f>
        <v/>
      </c>
      <c r="K55" s="4">
        <f>D55*(1+I55*Parámetros!$B$8)</f>
        <v/>
      </c>
      <c r="L55">
        <f>INDEX(Desempeño!$H$4:$H$12,MATCH(C55,Desempeño!$A$4:$A$12,0))</f>
        <v/>
      </c>
      <c r="M55">
        <f>INDEX(Desempeño!$G$4:$G$12,MATCH(C55,Desempeño!$A$4:$A$12,0))</f>
        <v/>
      </c>
      <c r="N55" s="7">
        <f>INDEX(Parámetros!$B$13:$B$21,MATCH(C55,Parámetros!$A$13:$A$21,0))</f>
        <v/>
      </c>
      <c r="O55" s="4">
        <f>D55*N55</f>
        <v/>
      </c>
    </row>
    <row r="56">
      <c r="A56" t="inlineStr">
        <is>
          <t>Septiembre 2026</t>
        </is>
      </c>
      <c r="B56" t="inlineStr">
        <is>
          <t>Quito</t>
        </is>
      </c>
      <c r="C56" t="inlineStr">
        <is>
          <t>Hanuta</t>
        </is>
      </c>
      <c r="D56" s="4" t="n">
        <v>6813.6</v>
      </c>
      <c r="E56" s="4" t="n">
        <v>7396.416666666666</v>
      </c>
      <c r="F56" s="4" t="n">
        <v>6776</v>
      </c>
      <c r="G56" s="5">
        <f>IF(E56=0,"",D56/E56-1)</f>
        <v/>
      </c>
      <c r="H56">
        <f>IF(E56=0,IF(D56&gt;0,"Revisar",""),IF(ABS(G56)&gt;Parámetros!$B$3,"Revisar",""))</f>
        <v/>
      </c>
      <c r="I56" s="6">
        <f>INDEX(Desempeño!$C$4:$C$12,MATCH(C56,Desempeño!$A$4:$A$12,0))</f>
        <v/>
      </c>
      <c r="J56" s="4">
        <f>MAX(0,D56*(1-I56*Parámetros!$B$8))</f>
        <v/>
      </c>
      <c r="K56" s="4">
        <f>D56*(1+I56*Parámetros!$B$8)</f>
        <v/>
      </c>
      <c r="L56">
        <f>INDEX(Desempeño!$H$4:$H$12,MATCH(C56,Desempeño!$A$4:$A$12,0))</f>
        <v/>
      </c>
      <c r="M56">
        <f>INDEX(Desempeño!$G$4:$G$12,MATCH(C56,Desempeño!$A$4:$A$12,0))</f>
        <v/>
      </c>
      <c r="N56" s="7">
        <f>INDEX(Parámetros!$B$13:$B$21,MATCH(C56,Parámetros!$A$13:$A$21,0))</f>
        <v/>
      </c>
      <c r="O56" s="4">
        <f>D56*N56</f>
        <v/>
      </c>
    </row>
    <row r="57">
      <c r="A57" t="inlineStr">
        <is>
          <t>Septiembre 2026</t>
        </is>
      </c>
      <c r="B57" t="inlineStr">
        <is>
          <t>Quito</t>
        </is>
      </c>
      <c r="C57" t="inlineStr">
        <is>
          <t>Kinder Bueno</t>
        </is>
      </c>
      <c r="D57" s="4" t="n">
        <v>7015.5</v>
      </c>
      <c r="E57" s="4" t="n">
        <v>7056.333333333333</v>
      </c>
      <c r="F57" s="4" t="n">
        <v>6589.8</v>
      </c>
      <c r="G57" s="5">
        <f>IF(E57=0,"",D57/E57-1)</f>
        <v/>
      </c>
      <c r="H57">
        <f>IF(E57=0,IF(D57&gt;0,"Revisar",""),IF(ABS(G57)&gt;Parámetros!$B$3,"Revisar",""))</f>
        <v/>
      </c>
      <c r="I57" s="6">
        <f>INDEX(Desempeño!$C$4:$C$12,MATCH(C57,Desempeño!$A$4:$A$12,0))</f>
        <v/>
      </c>
      <c r="J57" s="4">
        <f>MAX(0,D57*(1-I57*Parámetros!$B$8))</f>
        <v/>
      </c>
      <c r="K57" s="4">
        <f>D57*(1+I57*Parámetros!$B$8)</f>
        <v/>
      </c>
      <c r="L57">
        <f>INDEX(Desempeño!$H$4:$H$12,MATCH(C57,Desempeño!$A$4:$A$12,0))</f>
        <v/>
      </c>
      <c r="M57">
        <f>INDEX(Desempeño!$G$4:$G$12,MATCH(C57,Desempeño!$A$4:$A$12,0))</f>
        <v/>
      </c>
      <c r="N57" s="7">
        <f>INDEX(Parámetros!$B$13:$B$21,MATCH(C57,Parámetros!$A$13:$A$21,0))</f>
        <v/>
      </c>
      <c r="O57" s="4">
        <f>D57*N57</f>
        <v/>
      </c>
    </row>
    <row r="58">
      <c r="A58" t="inlineStr">
        <is>
          <t>Septiembre 2026</t>
        </is>
      </c>
      <c r="B58" t="inlineStr">
        <is>
          <t>Quito</t>
        </is>
      </c>
      <c r="C58" t="inlineStr">
        <is>
          <t>Kinder Chocolate</t>
        </is>
      </c>
      <c r="D58" s="4" t="n">
        <v>3019.5</v>
      </c>
      <c r="E58" s="4" t="n">
        <v>2454.625</v>
      </c>
      <c r="F58" s="4" t="n">
        <v>3043.3</v>
      </c>
      <c r="G58" s="5">
        <f>IF(E58=0,"",D58/E58-1)</f>
        <v/>
      </c>
      <c r="H58">
        <f>IF(E58=0,IF(D58&gt;0,"Revisar",""),IF(ABS(G58)&gt;Parámetros!$B$3,"Revisar",""))</f>
        <v/>
      </c>
      <c r="I58" s="6">
        <f>INDEX(Desempeño!$C$4:$C$12,MATCH(C58,Desempeño!$A$4:$A$12,0))</f>
        <v/>
      </c>
      <c r="J58" s="4">
        <f>MAX(0,D58*(1-I58*Parámetros!$B$8))</f>
        <v/>
      </c>
      <c r="K58" s="4">
        <f>D58*(1+I58*Parámetros!$B$8)</f>
        <v/>
      </c>
      <c r="L58">
        <f>INDEX(Desempeño!$H$4:$H$12,MATCH(C58,Desempeño!$A$4:$A$12,0))</f>
        <v/>
      </c>
      <c r="M58">
        <f>INDEX(Desempeño!$G$4:$G$12,MATCH(C58,Desempeño!$A$4:$A$12,0))</f>
        <v/>
      </c>
      <c r="N58" s="7">
        <f>INDEX(Parámetros!$B$13:$B$21,MATCH(C58,Parámetros!$A$13:$A$21,0))</f>
        <v/>
      </c>
      <c r="O58" s="4">
        <f>D58*N58</f>
        <v/>
      </c>
    </row>
    <row r="59">
      <c r="A59" t="inlineStr">
        <is>
          <t>Septiembre 2026</t>
        </is>
      </c>
      <c r="B59" t="inlineStr">
        <is>
          <t>Quito</t>
        </is>
      </c>
      <c r="C59" t="inlineStr">
        <is>
          <t>Kinder Joy</t>
        </is>
      </c>
      <c r="D59" s="4" t="n">
        <v>13059</v>
      </c>
      <c r="E59" s="4" t="n">
        <v>14693.5</v>
      </c>
      <c r="F59" s="4" t="n">
        <v>12476.6</v>
      </c>
      <c r="G59" s="5">
        <f>IF(E59=0,"",D59/E59-1)</f>
        <v/>
      </c>
      <c r="H59">
        <f>IF(E59=0,IF(D59&gt;0,"Revisar",""),IF(ABS(G59)&gt;Parámetros!$B$3,"Revisar",""))</f>
        <v/>
      </c>
      <c r="I59" s="6">
        <f>INDEX(Desempeño!$C$4:$C$12,MATCH(C59,Desempeño!$A$4:$A$12,0))</f>
        <v/>
      </c>
      <c r="J59" s="4">
        <f>MAX(0,D59*(1-I59*Parámetros!$B$8))</f>
        <v/>
      </c>
      <c r="K59" s="4">
        <f>D59*(1+I59*Parámetros!$B$8)</f>
        <v/>
      </c>
      <c r="L59">
        <f>INDEX(Desempeño!$H$4:$H$12,MATCH(C59,Desempeño!$A$4:$A$12,0))</f>
        <v/>
      </c>
      <c r="M59">
        <f>INDEX(Desempeño!$G$4:$G$12,MATCH(C59,Desempeño!$A$4:$A$12,0))</f>
        <v/>
      </c>
      <c r="N59" s="7">
        <f>INDEX(Parámetros!$B$13:$B$21,MATCH(C59,Parámetros!$A$13:$A$21,0))</f>
        <v/>
      </c>
      <c r="O59" s="4">
        <f>D59*N59</f>
        <v/>
      </c>
    </row>
    <row r="60">
      <c r="A60" t="inlineStr">
        <is>
          <t>Septiembre 2026</t>
        </is>
      </c>
      <c r="B60" t="inlineStr">
        <is>
          <t>Quito</t>
        </is>
      </c>
      <c r="C60" t="inlineStr">
        <is>
          <t>Noggy</t>
        </is>
      </c>
      <c r="D60" s="4" t="n">
        <v>9161.700000000001</v>
      </c>
      <c r="E60" s="4" t="n">
        <v>12327</v>
      </c>
      <c r="F60" s="4" t="n">
        <v>10319.3</v>
      </c>
      <c r="G60" s="5">
        <f>IF(E60=0,"",D60/E60-1)</f>
        <v/>
      </c>
      <c r="H60">
        <f>IF(E60=0,IF(D60&gt;0,"Revisar",""),IF(ABS(G60)&gt;Parámetros!$B$3,"Revisar",""))</f>
        <v/>
      </c>
      <c r="I60" s="6">
        <f>INDEX(Desempeño!$C$4:$C$12,MATCH(C60,Desempeño!$A$4:$A$12,0))</f>
        <v/>
      </c>
      <c r="J60" s="4">
        <f>MAX(0,D60*(1-I60*Parámetros!$B$8))</f>
        <v/>
      </c>
      <c r="K60" s="4">
        <f>D60*(1+I60*Parámetros!$B$8)</f>
        <v/>
      </c>
      <c r="L60">
        <f>INDEX(Desempeño!$H$4:$H$12,MATCH(C60,Desempeño!$A$4:$A$12,0))</f>
        <v/>
      </c>
      <c r="M60">
        <f>INDEX(Desempeño!$G$4:$G$12,MATCH(C60,Desempeño!$A$4:$A$12,0))</f>
        <v/>
      </c>
      <c r="N60" s="7">
        <f>INDEX(Parámetros!$B$13:$B$21,MATCH(C60,Parámetros!$A$13:$A$21,0))</f>
        <v/>
      </c>
      <c r="O60" s="4">
        <f>D60*N60</f>
        <v/>
      </c>
    </row>
    <row r="61">
      <c r="A61" t="inlineStr">
        <is>
          <t>Septiembre 2026</t>
        </is>
      </c>
      <c r="B61" t="inlineStr">
        <is>
          <t>Quito</t>
        </is>
      </c>
      <c r="C61" t="inlineStr">
        <is>
          <t>Nutella</t>
        </is>
      </c>
      <c r="D61" s="4" t="n">
        <v>23002.9</v>
      </c>
      <c r="E61" s="4" t="n">
        <v>20597.75</v>
      </c>
      <c r="F61" s="4" t="n">
        <v>22098.6</v>
      </c>
      <c r="G61" s="5">
        <f>IF(E61=0,"",D61/E61-1)</f>
        <v/>
      </c>
      <c r="H61">
        <f>IF(E61=0,IF(D61&gt;0,"Revisar",""),IF(ABS(G61)&gt;Parámetros!$B$3,"Revisar",""))</f>
        <v/>
      </c>
      <c r="I61" s="6">
        <f>INDEX(Desempeño!$C$4:$C$12,MATCH(C61,Desempeño!$A$4:$A$12,0))</f>
        <v/>
      </c>
      <c r="J61" s="4">
        <f>MAX(0,D61*(1-I61*Parámetros!$B$8))</f>
        <v/>
      </c>
      <c r="K61" s="4">
        <f>D61*(1+I61*Parámetros!$B$8)</f>
        <v/>
      </c>
      <c r="L61">
        <f>INDEX(Desempeño!$H$4:$H$12,MATCH(C61,Desempeño!$A$4:$A$12,0))</f>
        <v/>
      </c>
      <c r="M61">
        <f>INDEX(Desempeño!$G$4:$G$12,MATCH(C61,Desempeño!$A$4:$A$12,0))</f>
        <v/>
      </c>
      <c r="N61" s="7">
        <f>INDEX(Parámetros!$B$13:$B$21,MATCH(C61,Parámetros!$A$13:$A$21,0))</f>
        <v/>
      </c>
      <c r="O61" s="4">
        <f>D61*N61</f>
        <v/>
      </c>
    </row>
    <row r="62">
      <c r="A62" t="inlineStr">
        <is>
          <t>Septiembre 2026</t>
        </is>
      </c>
      <c r="B62" t="inlineStr">
        <is>
          <t>Quito</t>
        </is>
      </c>
      <c r="C62" t="inlineStr">
        <is>
          <t>Raffaello</t>
        </is>
      </c>
      <c r="D62" s="4" t="n">
        <v>5476.9</v>
      </c>
      <c r="E62" s="4" t="n">
        <v>3110.625</v>
      </c>
      <c r="F62" s="4" t="n">
        <v>5835.7</v>
      </c>
      <c r="G62" s="5">
        <f>IF(E62=0,"",D62/E62-1)</f>
        <v/>
      </c>
      <c r="H62">
        <f>IF(E62=0,IF(D62&gt;0,"Revisar",""),IF(ABS(G62)&gt;Parámetros!$B$3,"Revisar",""))</f>
        <v/>
      </c>
      <c r="I62" s="6">
        <f>INDEX(Desempeño!$C$4:$C$12,MATCH(C62,Desempeño!$A$4:$A$12,0))</f>
        <v/>
      </c>
      <c r="J62" s="4">
        <f>MAX(0,D62*(1-I62*Parámetros!$B$8))</f>
        <v/>
      </c>
      <c r="K62" s="4">
        <f>D62*(1+I62*Parámetros!$B$8)</f>
        <v/>
      </c>
      <c r="L62">
        <f>INDEX(Desempeño!$H$4:$H$12,MATCH(C62,Desempeño!$A$4:$A$12,0))</f>
        <v/>
      </c>
      <c r="M62">
        <f>INDEX(Desempeño!$G$4:$G$12,MATCH(C62,Desempeño!$A$4:$A$12,0))</f>
        <v/>
      </c>
      <c r="N62" s="7">
        <f>INDEX(Parámetros!$B$13:$B$21,MATCH(C62,Parámetros!$A$13:$A$21,0))</f>
        <v/>
      </c>
      <c r="O62" s="4">
        <f>D62*N62</f>
        <v/>
      </c>
    </row>
    <row r="63">
      <c r="A63" t="inlineStr">
        <is>
          <t>Septiembre 2026</t>
        </is>
      </c>
      <c r="B63" t="inlineStr">
        <is>
          <t>Quito</t>
        </is>
      </c>
      <c r="C63" t="inlineStr">
        <is>
          <t>Rocher</t>
        </is>
      </c>
      <c r="D63" s="4" t="n">
        <v>20136.2</v>
      </c>
      <c r="E63" s="4" t="n">
        <v>23272.8125</v>
      </c>
      <c r="F63" s="4" t="n">
        <v>14950.9</v>
      </c>
      <c r="G63" s="5">
        <f>IF(E63=0,"",D63/E63-1)</f>
        <v/>
      </c>
      <c r="H63">
        <f>IF(E63=0,IF(D63&gt;0,"Revisar",""),IF(ABS(G63)&gt;Parámetros!$B$3,"Revisar",""))</f>
        <v/>
      </c>
      <c r="I63" s="6">
        <f>INDEX(Desempeño!$C$4:$C$12,MATCH(C63,Desempeño!$A$4:$A$12,0))</f>
        <v/>
      </c>
      <c r="J63" s="4">
        <f>MAX(0,D63*(1-I63*Parámetros!$B$8))</f>
        <v/>
      </c>
      <c r="K63" s="4">
        <f>D63*(1+I63*Parámetros!$B$8)</f>
        <v/>
      </c>
      <c r="L63">
        <f>INDEX(Desempeño!$H$4:$H$12,MATCH(C63,Desempeño!$A$4:$A$12,0))</f>
        <v/>
      </c>
      <c r="M63">
        <f>INDEX(Desempeño!$G$4:$G$12,MATCH(C63,Desempeño!$A$4:$A$12,0))</f>
        <v/>
      </c>
      <c r="N63" s="7">
        <f>INDEX(Parámetros!$B$13:$B$21,MATCH(C63,Parámetros!$A$13:$A$21,0))</f>
        <v/>
      </c>
      <c r="O63" s="4">
        <f>D63*N63</f>
        <v/>
      </c>
    </row>
    <row r="64">
      <c r="A64" t="inlineStr">
        <is>
          <t>Septiembre 2026</t>
        </is>
      </c>
      <c r="B64" t="inlineStr">
        <is>
          <t>Quito</t>
        </is>
      </c>
      <c r="C64" t="inlineStr">
        <is>
          <t>Tic Tac</t>
        </is>
      </c>
      <c r="D64" s="4" t="n">
        <v>6366.4</v>
      </c>
      <c r="E64" s="4" t="n">
        <v>9010.5</v>
      </c>
      <c r="F64" s="4" t="n">
        <v>5865.3</v>
      </c>
      <c r="G64" s="5">
        <f>IF(E64=0,"",D64/E64-1)</f>
        <v/>
      </c>
      <c r="H64">
        <f>IF(E64=0,IF(D64&gt;0,"Revisar",""),IF(ABS(G64)&gt;Parámetros!$B$3,"Revisar",""))</f>
        <v/>
      </c>
      <c r="I64" s="6">
        <f>INDEX(Desempeño!$C$4:$C$12,MATCH(C64,Desempeño!$A$4:$A$12,0))</f>
        <v/>
      </c>
      <c r="J64" s="4">
        <f>MAX(0,D64*(1-I64*Parámetros!$B$8))</f>
        <v/>
      </c>
      <c r="K64" s="4">
        <f>D64*(1+I64*Parámetros!$B$8)</f>
        <v/>
      </c>
      <c r="L64">
        <f>INDEX(Desempeño!$H$4:$H$12,MATCH(C64,Desempeño!$A$4:$A$12,0))</f>
        <v/>
      </c>
      <c r="M64">
        <f>INDEX(Desempeño!$G$4:$G$12,MATCH(C64,Desempeño!$A$4:$A$12,0))</f>
        <v/>
      </c>
      <c r="N64" s="7">
        <f>INDEX(Parámetros!$B$13:$B$21,MATCH(C64,Parámetros!$A$13:$A$21,0))</f>
        <v/>
      </c>
      <c r="O64" s="4">
        <f>D64*N64</f>
        <v/>
      </c>
    </row>
    <row r="65">
      <c r="A65" t="inlineStr">
        <is>
          <t>Septiembre 2026</t>
        </is>
      </c>
      <c r="B65" t="inlineStr">
        <is>
          <t>Santo Domingo</t>
        </is>
      </c>
      <c r="C65" t="inlineStr">
        <is>
          <t>Hanuta</t>
        </is>
      </c>
      <c r="D65" s="4" t="n">
        <v>486.5</v>
      </c>
      <c r="E65" s="4" t="n">
        <v>735</v>
      </c>
      <c r="F65" s="4" t="n">
        <v>424.7</v>
      </c>
      <c r="G65" s="5">
        <f>IF(E65=0,"",D65/E65-1)</f>
        <v/>
      </c>
      <c r="H65">
        <f>IF(E65=0,IF(D65&gt;0,"Revisar",""),IF(ABS(G65)&gt;Parámetros!$B$3,"Revisar",""))</f>
        <v/>
      </c>
      <c r="I65" s="6">
        <f>INDEX(Desempeño!$C$4:$C$12,MATCH(C65,Desempeño!$A$4:$A$12,0))</f>
        <v/>
      </c>
      <c r="J65" s="4">
        <f>MAX(0,D65*(1-I65*Parámetros!$B$8))</f>
        <v/>
      </c>
      <c r="K65" s="4">
        <f>D65*(1+I65*Parámetros!$B$8)</f>
        <v/>
      </c>
      <c r="L65">
        <f>INDEX(Desempeño!$H$4:$H$12,MATCH(C65,Desempeño!$A$4:$A$12,0))</f>
        <v/>
      </c>
      <c r="M65">
        <f>INDEX(Desempeño!$G$4:$G$12,MATCH(C65,Desempeño!$A$4:$A$12,0))</f>
        <v/>
      </c>
      <c r="N65" s="7">
        <f>INDEX(Parámetros!$B$13:$B$21,MATCH(C65,Parámetros!$A$13:$A$21,0))</f>
        <v/>
      </c>
      <c r="O65" s="4">
        <f>D65*N65</f>
        <v/>
      </c>
    </row>
    <row r="66">
      <c r="A66" t="inlineStr">
        <is>
          <t>Septiembre 2026</t>
        </is>
      </c>
      <c r="B66" t="inlineStr">
        <is>
          <t>Santo Domingo</t>
        </is>
      </c>
      <c r="C66" t="inlineStr">
        <is>
          <t>Kinder Bueno</t>
        </is>
      </c>
      <c r="D66" s="4" t="n">
        <v>286.6</v>
      </c>
      <c r="E66" s="4" t="n">
        <v>313</v>
      </c>
      <c r="F66" s="4" t="n">
        <v>269</v>
      </c>
      <c r="G66" s="5">
        <f>IF(E66=0,"",D66/E66-1)</f>
        <v/>
      </c>
      <c r="H66">
        <f>IF(E66=0,IF(D66&gt;0,"Revisar",""),IF(ABS(G66)&gt;Parámetros!$B$3,"Revisar",""))</f>
        <v/>
      </c>
      <c r="I66" s="6">
        <f>INDEX(Desempeño!$C$4:$C$12,MATCH(C66,Desempeño!$A$4:$A$12,0))</f>
        <v/>
      </c>
      <c r="J66" s="4">
        <f>MAX(0,D66*(1-I66*Parámetros!$B$8))</f>
        <v/>
      </c>
      <c r="K66" s="4">
        <f>D66*(1+I66*Parámetros!$B$8)</f>
        <v/>
      </c>
      <c r="L66">
        <f>INDEX(Desempeño!$H$4:$H$12,MATCH(C66,Desempeño!$A$4:$A$12,0))</f>
        <v/>
      </c>
      <c r="M66">
        <f>INDEX(Desempeño!$G$4:$G$12,MATCH(C66,Desempeño!$A$4:$A$12,0))</f>
        <v/>
      </c>
      <c r="N66" s="7">
        <f>INDEX(Parámetros!$B$13:$B$21,MATCH(C66,Parámetros!$A$13:$A$21,0))</f>
        <v/>
      </c>
      <c r="O66" s="4">
        <f>D66*N66</f>
        <v/>
      </c>
    </row>
    <row r="67">
      <c r="A67" t="inlineStr">
        <is>
          <t>Septiembre 2026</t>
        </is>
      </c>
      <c r="B67" t="inlineStr">
        <is>
          <t>Santo Domingo</t>
        </is>
      </c>
      <c r="C67" t="inlineStr">
        <is>
          <t>Kinder Chocolate</t>
        </is>
      </c>
      <c r="D67" s="4" t="n">
        <v>93.09999999999999</v>
      </c>
      <c r="E67" s="4" t="n">
        <v>103</v>
      </c>
      <c r="F67" s="4" t="n">
        <v>82.3</v>
      </c>
      <c r="G67" s="5">
        <f>IF(E67=0,"",D67/E67-1)</f>
        <v/>
      </c>
      <c r="H67">
        <f>IF(E67=0,IF(D67&gt;0,"Revisar",""),IF(ABS(G67)&gt;Parámetros!$B$3,"Revisar",""))</f>
        <v/>
      </c>
      <c r="I67" s="6">
        <f>INDEX(Desempeño!$C$4:$C$12,MATCH(C67,Desempeño!$A$4:$A$12,0))</f>
        <v/>
      </c>
      <c r="J67" s="4">
        <f>MAX(0,D67*(1-I67*Parámetros!$B$8))</f>
        <v/>
      </c>
      <c r="K67" s="4">
        <f>D67*(1+I67*Parámetros!$B$8)</f>
        <v/>
      </c>
      <c r="L67">
        <f>INDEX(Desempeño!$H$4:$H$12,MATCH(C67,Desempeño!$A$4:$A$12,0))</f>
        <v/>
      </c>
      <c r="M67">
        <f>INDEX(Desempeño!$G$4:$G$12,MATCH(C67,Desempeño!$A$4:$A$12,0))</f>
        <v/>
      </c>
      <c r="N67" s="7">
        <f>INDEX(Parámetros!$B$13:$B$21,MATCH(C67,Parámetros!$A$13:$A$21,0))</f>
        <v/>
      </c>
      <c r="O67" s="4">
        <f>D67*N67</f>
        <v/>
      </c>
    </row>
    <row r="68">
      <c r="A68" t="inlineStr">
        <is>
          <t>Septiembre 2026</t>
        </is>
      </c>
      <c r="B68" t="inlineStr">
        <is>
          <t>Santo Domingo</t>
        </is>
      </c>
      <c r="C68" t="inlineStr">
        <is>
          <t>Kinder Joy</t>
        </is>
      </c>
      <c r="D68" s="4" t="n">
        <v>2369.6</v>
      </c>
      <c r="E68" s="4" t="n">
        <v>3103</v>
      </c>
      <c r="F68" s="4" t="n">
        <v>2361.3</v>
      </c>
      <c r="G68" s="5">
        <f>IF(E68=0,"",D68/E68-1)</f>
        <v/>
      </c>
      <c r="H68">
        <f>IF(E68=0,IF(D68&gt;0,"Revisar",""),IF(ABS(G68)&gt;Parámetros!$B$3,"Revisar",""))</f>
        <v/>
      </c>
      <c r="I68" s="6">
        <f>INDEX(Desempeño!$C$4:$C$12,MATCH(C68,Desempeño!$A$4:$A$12,0))</f>
        <v/>
      </c>
      <c r="J68" s="4">
        <f>MAX(0,D68*(1-I68*Parámetros!$B$8))</f>
        <v/>
      </c>
      <c r="K68" s="4">
        <f>D68*(1+I68*Parámetros!$B$8)</f>
        <v/>
      </c>
      <c r="L68">
        <f>INDEX(Desempeño!$H$4:$H$12,MATCH(C68,Desempeño!$A$4:$A$12,0))</f>
        <v/>
      </c>
      <c r="M68">
        <f>INDEX(Desempeño!$G$4:$G$12,MATCH(C68,Desempeño!$A$4:$A$12,0))</f>
        <v/>
      </c>
      <c r="N68" s="7">
        <f>INDEX(Parámetros!$B$13:$B$21,MATCH(C68,Parámetros!$A$13:$A$21,0))</f>
        <v/>
      </c>
      <c r="O68" s="4">
        <f>D68*N68</f>
        <v/>
      </c>
    </row>
    <row r="69">
      <c r="A69" t="inlineStr">
        <is>
          <t>Septiembre 2026</t>
        </is>
      </c>
      <c r="B69" t="inlineStr">
        <is>
          <t>Santo Domingo</t>
        </is>
      </c>
      <c r="C69" t="inlineStr">
        <is>
          <t>Noggy</t>
        </is>
      </c>
      <c r="D69" s="4" t="n">
        <v>1140.3</v>
      </c>
      <c r="E69" s="4" t="n">
        <v>2450</v>
      </c>
      <c r="F69" s="4" t="n">
        <v>1137</v>
      </c>
      <c r="G69" s="5">
        <f>IF(E69=0,"",D69/E69-1)</f>
        <v/>
      </c>
      <c r="H69">
        <f>IF(E69=0,IF(D69&gt;0,"Revisar",""),IF(ABS(G69)&gt;Parámetros!$B$3,"Revisar",""))</f>
        <v/>
      </c>
      <c r="I69" s="6">
        <f>INDEX(Desempeño!$C$4:$C$12,MATCH(C69,Desempeño!$A$4:$A$12,0))</f>
        <v/>
      </c>
      <c r="J69" s="4">
        <f>MAX(0,D69*(1-I69*Parámetros!$B$8))</f>
        <v/>
      </c>
      <c r="K69" s="4">
        <f>D69*(1+I69*Parámetros!$B$8)</f>
        <v/>
      </c>
      <c r="L69">
        <f>INDEX(Desempeño!$H$4:$H$12,MATCH(C69,Desempeño!$A$4:$A$12,0))</f>
        <v/>
      </c>
      <c r="M69">
        <f>INDEX(Desempeño!$G$4:$G$12,MATCH(C69,Desempeño!$A$4:$A$12,0))</f>
        <v/>
      </c>
      <c r="N69" s="7">
        <f>INDEX(Parámetros!$B$13:$B$21,MATCH(C69,Parámetros!$A$13:$A$21,0))</f>
        <v/>
      </c>
      <c r="O69" s="4">
        <f>D69*N69</f>
        <v/>
      </c>
    </row>
    <row r="70">
      <c r="A70" t="inlineStr">
        <is>
          <t>Septiembre 2026</t>
        </is>
      </c>
      <c r="B70" t="inlineStr">
        <is>
          <t>Santo Domingo</t>
        </is>
      </c>
      <c r="C70" t="inlineStr">
        <is>
          <t>Nutella</t>
        </is>
      </c>
      <c r="D70" s="4" t="n">
        <v>3457.2</v>
      </c>
      <c r="E70" s="4" t="n">
        <v>4133</v>
      </c>
      <c r="F70" s="4" t="n">
        <v>3100.7</v>
      </c>
      <c r="G70" s="5">
        <f>IF(E70=0,"",D70/E70-1)</f>
        <v/>
      </c>
      <c r="H70">
        <f>IF(E70=0,IF(D70&gt;0,"Revisar",""),IF(ABS(G70)&gt;Parámetros!$B$3,"Revisar",""))</f>
        <v/>
      </c>
      <c r="I70" s="6">
        <f>INDEX(Desempeño!$C$4:$C$12,MATCH(C70,Desempeño!$A$4:$A$12,0))</f>
        <v/>
      </c>
      <c r="J70" s="4">
        <f>MAX(0,D70*(1-I70*Parámetros!$B$8))</f>
        <v/>
      </c>
      <c r="K70" s="4">
        <f>D70*(1+I70*Parámetros!$B$8)</f>
        <v/>
      </c>
      <c r="L70">
        <f>INDEX(Desempeño!$H$4:$H$12,MATCH(C70,Desempeño!$A$4:$A$12,0))</f>
        <v/>
      </c>
      <c r="M70">
        <f>INDEX(Desempeño!$G$4:$G$12,MATCH(C70,Desempeño!$A$4:$A$12,0))</f>
        <v/>
      </c>
      <c r="N70" s="7">
        <f>INDEX(Parámetros!$B$13:$B$21,MATCH(C70,Parámetros!$A$13:$A$21,0))</f>
        <v/>
      </c>
      <c r="O70" s="4">
        <f>D70*N70</f>
        <v/>
      </c>
    </row>
    <row r="71">
      <c r="A71" t="inlineStr">
        <is>
          <t>Septiembre 2026</t>
        </is>
      </c>
      <c r="B71" t="inlineStr">
        <is>
          <t>Santo Domingo</t>
        </is>
      </c>
      <c r="C71" t="inlineStr">
        <is>
          <t>Raffaello</t>
        </is>
      </c>
      <c r="D71" s="4" t="n">
        <v>245.8</v>
      </c>
      <c r="E71" s="4" t="n">
        <v>487</v>
      </c>
      <c r="F71" s="4" t="n">
        <v>176.7</v>
      </c>
      <c r="G71" s="5">
        <f>IF(E71=0,"",D71/E71-1)</f>
        <v/>
      </c>
      <c r="H71">
        <f>IF(E71=0,IF(D71&gt;0,"Revisar",""),IF(ABS(G71)&gt;Parámetros!$B$3,"Revisar",""))</f>
        <v/>
      </c>
      <c r="I71" s="6">
        <f>INDEX(Desempeño!$C$4:$C$12,MATCH(C71,Desempeño!$A$4:$A$12,0))</f>
        <v/>
      </c>
      <c r="J71" s="4">
        <f>MAX(0,D71*(1-I71*Parámetros!$B$8))</f>
        <v/>
      </c>
      <c r="K71" s="4">
        <f>D71*(1+I71*Parámetros!$B$8)</f>
        <v/>
      </c>
      <c r="L71">
        <f>INDEX(Desempeño!$H$4:$H$12,MATCH(C71,Desempeño!$A$4:$A$12,0))</f>
        <v/>
      </c>
      <c r="M71">
        <f>INDEX(Desempeño!$G$4:$G$12,MATCH(C71,Desempeño!$A$4:$A$12,0))</f>
        <v/>
      </c>
      <c r="N71" s="7">
        <f>INDEX(Parámetros!$B$13:$B$21,MATCH(C71,Parámetros!$A$13:$A$21,0))</f>
        <v/>
      </c>
      <c r="O71" s="4">
        <f>D71*N71</f>
        <v/>
      </c>
    </row>
    <row r="72">
      <c r="A72" t="inlineStr">
        <is>
          <t>Septiembre 2026</t>
        </is>
      </c>
      <c r="B72" t="inlineStr">
        <is>
          <t>Santo Domingo</t>
        </is>
      </c>
      <c r="C72" t="inlineStr">
        <is>
          <t>Rocher</t>
        </is>
      </c>
      <c r="D72" s="4" t="n">
        <v>3208.2</v>
      </c>
      <c r="E72" s="4" t="n">
        <v>5015</v>
      </c>
      <c r="F72" s="4" t="n">
        <v>2521.3</v>
      </c>
      <c r="G72" s="5">
        <f>IF(E72=0,"",D72/E72-1)</f>
        <v/>
      </c>
      <c r="H72">
        <f>IF(E72=0,IF(D72&gt;0,"Revisar",""),IF(ABS(G72)&gt;Parámetros!$B$3,"Revisar",""))</f>
        <v/>
      </c>
      <c r="I72" s="6">
        <f>INDEX(Desempeño!$C$4:$C$12,MATCH(C72,Desempeño!$A$4:$A$12,0))</f>
        <v/>
      </c>
      <c r="J72" s="4">
        <f>MAX(0,D72*(1-I72*Parámetros!$B$8))</f>
        <v/>
      </c>
      <c r="K72" s="4">
        <f>D72*(1+I72*Parámetros!$B$8)</f>
        <v/>
      </c>
      <c r="L72">
        <f>INDEX(Desempeño!$H$4:$H$12,MATCH(C72,Desempeño!$A$4:$A$12,0))</f>
        <v/>
      </c>
      <c r="M72">
        <f>INDEX(Desempeño!$G$4:$G$12,MATCH(C72,Desempeño!$A$4:$A$12,0))</f>
        <v/>
      </c>
      <c r="N72" s="7">
        <f>INDEX(Parámetros!$B$13:$B$21,MATCH(C72,Parámetros!$A$13:$A$21,0))</f>
        <v/>
      </c>
      <c r="O72" s="4">
        <f>D72*N72</f>
        <v/>
      </c>
    </row>
    <row r="73">
      <c r="A73" t="inlineStr">
        <is>
          <t>Septiembre 2026</t>
        </is>
      </c>
      <c r="B73" t="inlineStr">
        <is>
          <t>Santo Domingo</t>
        </is>
      </c>
      <c r="C73" t="inlineStr">
        <is>
          <t>Tic Tac</t>
        </is>
      </c>
      <c r="D73" s="4" t="n">
        <v>873.4</v>
      </c>
      <c r="E73" s="4" t="n">
        <v>1023</v>
      </c>
      <c r="F73" s="4" t="n">
        <v>806.7</v>
      </c>
      <c r="G73" s="5">
        <f>IF(E73=0,"",D73/E73-1)</f>
        <v/>
      </c>
      <c r="H73">
        <f>IF(E73=0,IF(D73&gt;0,"Revisar",""),IF(ABS(G73)&gt;Parámetros!$B$3,"Revisar",""))</f>
        <v/>
      </c>
      <c r="I73" s="6">
        <f>INDEX(Desempeño!$C$4:$C$12,MATCH(C73,Desempeño!$A$4:$A$12,0))</f>
        <v/>
      </c>
      <c r="J73" s="4">
        <f>MAX(0,D73*(1-I73*Parámetros!$B$8))</f>
        <v/>
      </c>
      <c r="K73" s="4">
        <f>D73*(1+I73*Parámetros!$B$8)</f>
        <v/>
      </c>
      <c r="L73">
        <f>INDEX(Desempeño!$H$4:$H$12,MATCH(C73,Desempeño!$A$4:$A$12,0))</f>
        <v/>
      </c>
      <c r="M73">
        <f>INDEX(Desempeño!$G$4:$G$12,MATCH(C73,Desempeño!$A$4:$A$12,0))</f>
        <v/>
      </c>
      <c r="N73" s="7">
        <f>INDEX(Parámetros!$B$13:$B$21,MATCH(C73,Parámetros!$A$13:$A$21,0))</f>
        <v/>
      </c>
      <c r="O73" s="4">
        <f>D73*N73</f>
        <v/>
      </c>
    </row>
    <row r="74">
      <c r="A74" t="inlineStr">
        <is>
          <t>Octubre 2026</t>
        </is>
      </c>
      <c r="B74" t="inlineStr">
        <is>
          <t>Ambato</t>
        </is>
      </c>
      <c r="C74" t="inlineStr">
        <is>
          <t>Hanuta</t>
        </is>
      </c>
      <c r="D74" s="4" t="n">
        <v>1689.3</v>
      </c>
      <c r="E74" s="4" t="n">
        <v>2721</v>
      </c>
      <c r="F74" s="4" t="n">
        <v>1189.7</v>
      </c>
      <c r="G74" s="5">
        <f>IF(E74=0,"",D74/E74-1)</f>
        <v/>
      </c>
      <c r="H74">
        <f>IF(E74=0,IF(D74&gt;0,"Revisar",""),IF(ABS(G74)&gt;Parámetros!$B$3,"Revisar",""))</f>
        <v/>
      </c>
      <c r="I74" s="6">
        <f>INDEX(Desempeño!$C$4:$C$12,MATCH(C74,Desempeño!$A$4:$A$12,0))</f>
        <v/>
      </c>
      <c r="J74" s="4">
        <f>MAX(0,D74*(1-I74*Parámetros!$B$8))</f>
        <v/>
      </c>
      <c r="K74" s="4">
        <f>D74*(1+I74*Parámetros!$B$8)</f>
        <v/>
      </c>
      <c r="L74">
        <f>INDEX(Desempeño!$H$4:$H$12,MATCH(C74,Desempeño!$A$4:$A$12,0))</f>
        <v/>
      </c>
      <c r="M74">
        <f>INDEX(Desempeño!$G$4:$G$12,MATCH(C74,Desempeño!$A$4:$A$12,0))</f>
        <v/>
      </c>
      <c r="N74" s="7">
        <f>INDEX(Parámetros!$B$13:$B$21,MATCH(C74,Parámetros!$A$13:$A$21,0))</f>
        <v/>
      </c>
      <c r="O74" s="4">
        <f>D74*N74</f>
        <v/>
      </c>
    </row>
    <row r="75">
      <c r="A75" t="inlineStr">
        <is>
          <t>Octubre 2026</t>
        </is>
      </c>
      <c r="B75" t="inlineStr">
        <is>
          <t>Ambato</t>
        </is>
      </c>
      <c r="C75" t="inlineStr">
        <is>
          <t>Kinder Bueno</t>
        </is>
      </c>
      <c r="D75" s="4" t="n">
        <v>1783.2</v>
      </c>
      <c r="E75" s="4" t="n">
        <v>2241</v>
      </c>
      <c r="F75" s="4" t="n">
        <v>1728.3</v>
      </c>
      <c r="G75" s="5">
        <f>IF(E75=0,"",D75/E75-1)</f>
        <v/>
      </c>
      <c r="H75">
        <f>IF(E75=0,IF(D75&gt;0,"Revisar",""),IF(ABS(G75)&gt;Parámetros!$B$3,"Revisar",""))</f>
        <v/>
      </c>
      <c r="I75" s="6">
        <f>INDEX(Desempeño!$C$4:$C$12,MATCH(C75,Desempeño!$A$4:$A$12,0))</f>
        <v/>
      </c>
      <c r="J75" s="4">
        <f>MAX(0,D75*(1-I75*Parámetros!$B$8))</f>
        <v/>
      </c>
      <c r="K75" s="4">
        <f>D75*(1+I75*Parámetros!$B$8)</f>
        <v/>
      </c>
      <c r="L75">
        <f>INDEX(Desempeño!$H$4:$H$12,MATCH(C75,Desempeño!$A$4:$A$12,0))</f>
        <v/>
      </c>
      <c r="M75">
        <f>INDEX(Desempeño!$G$4:$G$12,MATCH(C75,Desempeño!$A$4:$A$12,0))</f>
        <v/>
      </c>
      <c r="N75" s="7">
        <f>INDEX(Parámetros!$B$13:$B$21,MATCH(C75,Parámetros!$A$13:$A$21,0))</f>
        <v/>
      </c>
      <c r="O75" s="4">
        <f>D75*N75</f>
        <v/>
      </c>
    </row>
    <row r="76">
      <c r="A76" t="inlineStr">
        <is>
          <t>Octubre 2026</t>
        </is>
      </c>
      <c r="B76" t="inlineStr">
        <is>
          <t>Ambato</t>
        </is>
      </c>
      <c r="C76" t="inlineStr">
        <is>
          <t>Kinder Chocolate</t>
        </is>
      </c>
      <c r="D76" s="4" t="n">
        <v>656.1</v>
      </c>
      <c r="E76" s="4" t="n">
        <v>1060</v>
      </c>
      <c r="F76" s="4" t="n">
        <v>484.7</v>
      </c>
      <c r="G76" s="5">
        <f>IF(E76=0,"",D76/E76-1)</f>
        <v/>
      </c>
      <c r="H76">
        <f>IF(E76=0,IF(D76&gt;0,"Revisar",""),IF(ABS(G76)&gt;Parámetros!$B$3,"Revisar",""))</f>
        <v/>
      </c>
      <c r="I76" s="6">
        <f>INDEX(Desempeño!$C$4:$C$12,MATCH(C76,Desempeño!$A$4:$A$12,0))</f>
        <v/>
      </c>
      <c r="J76" s="4">
        <f>MAX(0,D76*(1-I76*Parámetros!$B$8))</f>
        <v/>
      </c>
      <c r="K76" s="4">
        <f>D76*(1+I76*Parámetros!$B$8)</f>
        <v/>
      </c>
      <c r="L76">
        <f>INDEX(Desempeño!$H$4:$H$12,MATCH(C76,Desempeño!$A$4:$A$12,0))</f>
        <v/>
      </c>
      <c r="M76">
        <f>INDEX(Desempeño!$G$4:$G$12,MATCH(C76,Desempeño!$A$4:$A$12,0))</f>
        <v/>
      </c>
      <c r="N76" s="7">
        <f>INDEX(Parámetros!$B$13:$B$21,MATCH(C76,Parámetros!$A$13:$A$21,0))</f>
        <v/>
      </c>
      <c r="O76" s="4">
        <f>D76*N76</f>
        <v/>
      </c>
    </row>
    <row r="77">
      <c r="A77" t="inlineStr">
        <is>
          <t>Octubre 2026</t>
        </is>
      </c>
      <c r="B77" t="inlineStr">
        <is>
          <t>Ambato</t>
        </is>
      </c>
      <c r="C77" t="inlineStr">
        <is>
          <t>Kinder Joy</t>
        </is>
      </c>
      <c r="D77" s="4" t="n">
        <v>3165.1</v>
      </c>
      <c r="E77" s="4" t="n">
        <v>2979</v>
      </c>
      <c r="F77" s="4" t="n">
        <v>3201</v>
      </c>
      <c r="G77" s="5">
        <f>IF(E77=0,"",D77/E77-1)</f>
        <v/>
      </c>
      <c r="H77">
        <f>IF(E77=0,IF(D77&gt;0,"Revisar",""),IF(ABS(G77)&gt;Parámetros!$B$3,"Revisar",""))</f>
        <v/>
      </c>
      <c r="I77" s="6">
        <f>INDEX(Desempeño!$C$4:$C$12,MATCH(C77,Desempeño!$A$4:$A$12,0))</f>
        <v/>
      </c>
      <c r="J77" s="4">
        <f>MAX(0,D77*(1-I77*Parámetros!$B$8))</f>
        <v/>
      </c>
      <c r="K77" s="4">
        <f>D77*(1+I77*Parámetros!$B$8)</f>
        <v/>
      </c>
      <c r="L77">
        <f>INDEX(Desempeño!$H$4:$H$12,MATCH(C77,Desempeño!$A$4:$A$12,0))</f>
        <v/>
      </c>
      <c r="M77">
        <f>INDEX(Desempeño!$G$4:$G$12,MATCH(C77,Desempeño!$A$4:$A$12,0))</f>
        <v/>
      </c>
      <c r="N77" s="7">
        <f>INDEX(Parámetros!$B$13:$B$21,MATCH(C77,Parámetros!$A$13:$A$21,0))</f>
        <v/>
      </c>
      <c r="O77" s="4">
        <f>D77*N77</f>
        <v/>
      </c>
    </row>
    <row r="78">
      <c r="A78" t="inlineStr">
        <is>
          <t>Octubre 2026</t>
        </is>
      </c>
      <c r="B78" t="inlineStr">
        <is>
          <t>Ambato</t>
        </is>
      </c>
      <c r="C78" t="inlineStr">
        <is>
          <t>Noggy</t>
        </is>
      </c>
      <c r="D78" s="4" t="n">
        <v>2003.3</v>
      </c>
      <c r="E78" s="4" t="n">
        <v>4343</v>
      </c>
      <c r="F78" s="4" t="n">
        <v>1454.7</v>
      </c>
      <c r="G78" s="5">
        <f>IF(E78=0,"",D78/E78-1)</f>
        <v/>
      </c>
      <c r="H78">
        <f>IF(E78=0,IF(D78&gt;0,"Revisar",""),IF(ABS(G78)&gt;Parámetros!$B$3,"Revisar",""))</f>
        <v/>
      </c>
      <c r="I78" s="6">
        <f>INDEX(Desempeño!$C$4:$C$12,MATCH(C78,Desempeño!$A$4:$A$12,0))</f>
        <v/>
      </c>
      <c r="J78" s="4">
        <f>MAX(0,D78*(1-I78*Parámetros!$B$8))</f>
        <v/>
      </c>
      <c r="K78" s="4">
        <f>D78*(1+I78*Parámetros!$B$8)</f>
        <v/>
      </c>
      <c r="L78">
        <f>INDEX(Desempeño!$H$4:$H$12,MATCH(C78,Desempeño!$A$4:$A$12,0))</f>
        <v/>
      </c>
      <c r="M78">
        <f>INDEX(Desempeño!$G$4:$G$12,MATCH(C78,Desempeño!$A$4:$A$12,0))</f>
        <v/>
      </c>
      <c r="N78" s="7">
        <f>INDEX(Parámetros!$B$13:$B$21,MATCH(C78,Parámetros!$A$13:$A$21,0))</f>
        <v/>
      </c>
      <c r="O78" s="4">
        <f>D78*N78</f>
        <v/>
      </c>
    </row>
    <row r="79">
      <c r="A79" t="inlineStr">
        <is>
          <t>Octubre 2026</t>
        </is>
      </c>
      <c r="B79" t="inlineStr">
        <is>
          <t>Ambato</t>
        </is>
      </c>
      <c r="C79" t="inlineStr">
        <is>
          <t>Nutella</t>
        </is>
      </c>
      <c r="D79" s="4" t="n">
        <v>4284.9</v>
      </c>
      <c r="E79" s="4" t="n">
        <v>4117</v>
      </c>
      <c r="F79" s="4" t="n">
        <v>4269.7</v>
      </c>
      <c r="G79" s="5">
        <f>IF(E79=0,"",D79/E79-1)</f>
        <v/>
      </c>
      <c r="H79">
        <f>IF(E79=0,IF(D79&gt;0,"Revisar",""),IF(ABS(G79)&gt;Parámetros!$B$3,"Revisar",""))</f>
        <v/>
      </c>
      <c r="I79" s="6">
        <f>INDEX(Desempeño!$C$4:$C$12,MATCH(C79,Desempeño!$A$4:$A$12,0))</f>
        <v/>
      </c>
      <c r="J79" s="4">
        <f>MAX(0,D79*(1-I79*Parámetros!$B$8))</f>
        <v/>
      </c>
      <c r="K79" s="4">
        <f>D79*(1+I79*Parámetros!$B$8)</f>
        <v/>
      </c>
      <c r="L79">
        <f>INDEX(Desempeño!$H$4:$H$12,MATCH(C79,Desempeño!$A$4:$A$12,0))</f>
        <v/>
      </c>
      <c r="M79">
        <f>INDEX(Desempeño!$G$4:$G$12,MATCH(C79,Desempeño!$A$4:$A$12,0))</f>
        <v/>
      </c>
      <c r="N79" s="7">
        <f>INDEX(Parámetros!$B$13:$B$21,MATCH(C79,Parámetros!$A$13:$A$21,0))</f>
        <v/>
      </c>
      <c r="O79" s="4">
        <f>D79*N79</f>
        <v/>
      </c>
    </row>
    <row r="80">
      <c r="A80" t="inlineStr">
        <is>
          <t>Octubre 2026</t>
        </is>
      </c>
      <c r="B80" t="inlineStr">
        <is>
          <t>Ambato</t>
        </is>
      </c>
      <c r="C80" t="inlineStr">
        <is>
          <t>Raffaello</t>
        </is>
      </c>
      <c r="D80" s="4" t="n">
        <v>890.2</v>
      </c>
      <c r="E80" s="4" t="n">
        <v>901</v>
      </c>
      <c r="F80" s="4" t="n">
        <v>728.7</v>
      </c>
      <c r="G80" s="5">
        <f>IF(E80=0,"",D80/E80-1)</f>
        <v/>
      </c>
      <c r="H80">
        <f>IF(E80=0,IF(D80&gt;0,"Revisar",""),IF(ABS(G80)&gt;Parámetros!$B$3,"Revisar",""))</f>
        <v/>
      </c>
      <c r="I80" s="6">
        <f>INDEX(Desempeño!$C$4:$C$12,MATCH(C80,Desempeño!$A$4:$A$12,0))</f>
        <v/>
      </c>
      <c r="J80" s="4">
        <f>MAX(0,D80*(1-I80*Parámetros!$B$8))</f>
        <v/>
      </c>
      <c r="K80" s="4">
        <f>D80*(1+I80*Parámetros!$B$8)</f>
        <v/>
      </c>
      <c r="L80">
        <f>INDEX(Desempeño!$H$4:$H$12,MATCH(C80,Desempeño!$A$4:$A$12,0))</f>
        <v/>
      </c>
      <c r="M80">
        <f>INDEX(Desempeño!$G$4:$G$12,MATCH(C80,Desempeño!$A$4:$A$12,0))</f>
        <v/>
      </c>
      <c r="N80" s="7">
        <f>INDEX(Parámetros!$B$13:$B$21,MATCH(C80,Parámetros!$A$13:$A$21,0))</f>
        <v/>
      </c>
      <c r="O80" s="4">
        <f>D80*N80</f>
        <v/>
      </c>
    </row>
    <row r="81">
      <c r="A81" t="inlineStr">
        <is>
          <t>Octubre 2026</t>
        </is>
      </c>
      <c r="B81" t="inlineStr">
        <is>
          <t>Ambato</t>
        </is>
      </c>
      <c r="C81" t="inlineStr">
        <is>
          <t>Rocher</t>
        </is>
      </c>
      <c r="D81" s="4" t="n">
        <v>4959.6</v>
      </c>
      <c r="E81" s="4" t="n">
        <v>8715</v>
      </c>
      <c r="F81" s="4" t="n">
        <v>3457.7</v>
      </c>
      <c r="G81" s="5">
        <f>IF(E81=0,"",D81/E81-1)</f>
        <v/>
      </c>
      <c r="H81">
        <f>IF(E81=0,IF(D81&gt;0,"Revisar",""),IF(ABS(G81)&gt;Parámetros!$B$3,"Revisar",""))</f>
        <v/>
      </c>
      <c r="I81" s="6">
        <f>INDEX(Desempeño!$C$4:$C$12,MATCH(C81,Desempeño!$A$4:$A$12,0))</f>
        <v/>
      </c>
      <c r="J81" s="4">
        <f>MAX(0,D81*(1-I81*Parámetros!$B$8))</f>
        <v/>
      </c>
      <c r="K81" s="4">
        <f>D81*(1+I81*Parámetros!$B$8)</f>
        <v/>
      </c>
      <c r="L81">
        <f>INDEX(Desempeño!$H$4:$H$12,MATCH(C81,Desempeño!$A$4:$A$12,0))</f>
        <v/>
      </c>
      <c r="M81">
        <f>INDEX(Desempeño!$G$4:$G$12,MATCH(C81,Desempeño!$A$4:$A$12,0))</f>
        <v/>
      </c>
      <c r="N81" s="7">
        <f>INDEX(Parámetros!$B$13:$B$21,MATCH(C81,Parámetros!$A$13:$A$21,0))</f>
        <v/>
      </c>
      <c r="O81" s="4">
        <f>D81*N81</f>
        <v/>
      </c>
    </row>
    <row r="82">
      <c r="A82" t="inlineStr">
        <is>
          <t>Octubre 2026</t>
        </is>
      </c>
      <c r="B82" t="inlineStr">
        <is>
          <t>Ambato</t>
        </is>
      </c>
      <c r="C82" t="inlineStr">
        <is>
          <t>Tic Tac</t>
        </is>
      </c>
      <c r="D82" s="4" t="n">
        <v>1895.3</v>
      </c>
      <c r="E82" s="4" t="n">
        <v>3113</v>
      </c>
      <c r="F82" s="4" t="n">
        <v>1572</v>
      </c>
      <c r="G82" s="5">
        <f>IF(E82=0,"",D82/E82-1)</f>
        <v/>
      </c>
      <c r="H82">
        <f>IF(E82=0,IF(D82&gt;0,"Revisar",""),IF(ABS(G82)&gt;Parámetros!$B$3,"Revisar",""))</f>
        <v/>
      </c>
      <c r="I82" s="6">
        <f>INDEX(Desempeño!$C$4:$C$12,MATCH(C82,Desempeño!$A$4:$A$12,0))</f>
        <v/>
      </c>
      <c r="J82" s="4">
        <f>MAX(0,D82*(1-I82*Parámetros!$B$8))</f>
        <v/>
      </c>
      <c r="K82" s="4">
        <f>D82*(1+I82*Parámetros!$B$8)</f>
        <v/>
      </c>
      <c r="L82">
        <f>INDEX(Desempeño!$H$4:$H$12,MATCH(C82,Desempeño!$A$4:$A$12,0))</f>
        <v/>
      </c>
      <c r="M82">
        <f>INDEX(Desempeño!$G$4:$G$12,MATCH(C82,Desempeño!$A$4:$A$12,0))</f>
        <v/>
      </c>
      <c r="N82" s="7">
        <f>INDEX(Parámetros!$B$13:$B$21,MATCH(C82,Parámetros!$A$13:$A$21,0))</f>
        <v/>
      </c>
      <c r="O82" s="4">
        <f>D82*N82</f>
        <v/>
      </c>
    </row>
    <row r="83">
      <c r="A83" t="inlineStr">
        <is>
          <t>Octubre 2026</t>
        </is>
      </c>
      <c r="B83" t="inlineStr">
        <is>
          <t>Cuenca</t>
        </is>
      </c>
      <c r="C83" t="inlineStr">
        <is>
          <t>Hanuta</t>
        </is>
      </c>
      <c r="D83" s="4" t="n">
        <v>2544.2</v>
      </c>
      <c r="E83" s="4" t="n">
        <v>3726</v>
      </c>
      <c r="F83" s="4" t="n">
        <v>2328</v>
      </c>
      <c r="G83" s="5">
        <f>IF(E83=0,"",D83/E83-1)</f>
        <v/>
      </c>
      <c r="H83">
        <f>IF(E83=0,IF(D83&gt;0,"Revisar",""),IF(ABS(G83)&gt;Parámetros!$B$3,"Revisar",""))</f>
        <v/>
      </c>
      <c r="I83" s="6">
        <f>INDEX(Desempeño!$C$4:$C$12,MATCH(C83,Desempeño!$A$4:$A$12,0))</f>
        <v/>
      </c>
      <c r="J83" s="4">
        <f>MAX(0,D83*(1-I83*Parámetros!$B$8))</f>
        <v/>
      </c>
      <c r="K83" s="4">
        <f>D83*(1+I83*Parámetros!$B$8)</f>
        <v/>
      </c>
      <c r="L83">
        <f>INDEX(Desempeño!$H$4:$H$12,MATCH(C83,Desempeño!$A$4:$A$12,0))</f>
        <v/>
      </c>
      <c r="M83">
        <f>INDEX(Desempeño!$G$4:$G$12,MATCH(C83,Desempeño!$A$4:$A$12,0))</f>
        <v/>
      </c>
      <c r="N83" s="7">
        <f>INDEX(Parámetros!$B$13:$B$21,MATCH(C83,Parámetros!$A$13:$A$21,0))</f>
        <v/>
      </c>
      <c r="O83" s="4">
        <f>D83*N83</f>
        <v/>
      </c>
    </row>
    <row r="84">
      <c r="A84" t="inlineStr">
        <is>
          <t>Octubre 2026</t>
        </is>
      </c>
      <c r="B84" t="inlineStr">
        <is>
          <t>Cuenca</t>
        </is>
      </c>
      <c r="C84" t="inlineStr">
        <is>
          <t>Kinder Bueno</t>
        </is>
      </c>
      <c r="D84" s="4" t="n">
        <v>5090.4</v>
      </c>
      <c r="E84" s="4" t="n">
        <v>5049</v>
      </c>
      <c r="F84" s="4" t="n">
        <v>5227.7</v>
      </c>
      <c r="G84" s="5">
        <f>IF(E84=0,"",D84/E84-1)</f>
        <v/>
      </c>
      <c r="H84">
        <f>IF(E84=0,IF(D84&gt;0,"Revisar",""),IF(ABS(G84)&gt;Parámetros!$B$3,"Revisar",""))</f>
        <v/>
      </c>
      <c r="I84" s="6">
        <f>INDEX(Desempeño!$C$4:$C$12,MATCH(C84,Desempeño!$A$4:$A$12,0))</f>
        <v/>
      </c>
      <c r="J84" s="4">
        <f>MAX(0,D84*(1-I84*Parámetros!$B$8))</f>
        <v/>
      </c>
      <c r="K84" s="4">
        <f>D84*(1+I84*Parámetros!$B$8)</f>
        <v/>
      </c>
      <c r="L84">
        <f>INDEX(Desempeño!$H$4:$H$12,MATCH(C84,Desempeño!$A$4:$A$12,0))</f>
        <v/>
      </c>
      <c r="M84">
        <f>INDEX(Desempeño!$G$4:$G$12,MATCH(C84,Desempeño!$A$4:$A$12,0))</f>
        <v/>
      </c>
      <c r="N84" s="7">
        <f>INDEX(Parámetros!$B$13:$B$21,MATCH(C84,Parámetros!$A$13:$A$21,0))</f>
        <v/>
      </c>
      <c r="O84" s="4">
        <f>D84*N84</f>
        <v/>
      </c>
    </row>
    <row r="85">
      <c r="A85" t="inlineStr">
        <is>
          <t>Octubre 2026</t>
        </is>
      </c>
      <c r="B85" t="inlineStr">
        <is>
          <t>Cuenca</t>
        </is>
      </c>
      <c r="C85" t="inlineStr">
        <is>
          <t>Kinder Chocolate</t>
        </is>
      </c>
      <c r="D85" s="4" t="n">
        <v>1150.3</v>
      </c>
      <c r="E85" s="4" t="n">
        <v>969</v>
      </c>
      <c r="F85" s="4" t="n">
        <v>1050.7</v>
      </c>
      <c r="G85" s="5">
        <f>IF(E85=0,"",D85/E85-1)</f>
        <v/>
      </c>
      <c r="H85">
        <f>IF(E85=0,IF(D85&gt;0,"Revisar",""),IF(ABS(G85)&gt;Parámetros!$B$3,"Revisar",""))</f>
        <v/>
      </c>
      <c r="I85" s="6">
        <f>INDEX(Desempeño!$C$4:$C$12,MATCH(C85,Desempeño!$A$4:$A$12,0))</f>
        <v/>
      </c>
      <c r="J85" s="4">
        <f>MAX(0,D85*(1-I85*Parámetros!$B$8))</f>
        <v/>
      </c>
      <c r="K85" s="4">
        <f>D85*(1+I85*Parámetros!$B$8)</f>
        <v/>
      </c>
      <c r="L85">
        <f>INDEX(Desempeño!$H$4:$H$12,MATCH(C85,Desempeño!$A$4:$A$12,0))</f>
        <v/>
      </c>
      <c r="M85">
        <f>INDEX(Desempeño!$G$4:$G$12,MATCH(C85,Desempeño!$A$4:$A$12,0))</f>
        <v/>
      </c>
      <c r="N85" s="7">
        <f>INDEX(Parámetros!$B$13:$B$21,MATCH(C85,Parámetros!$A$13:$A$21,0))</f>
        <v/>
      </c>
      <c r="O85" s="4">
        <f>D85*N85</f>
        <v/>
      </c>
    </row>
    <row r="86">
      <c r="A86" t="inlineStr">
        <is>
          <t>Octubre 2026</t>
        </is>
      </c>
      <c r="B86" t="inlineStr">
        <is>
          <t>Cuenca</t>
        </is>
      </c>
      <c r="C86" t="inlineStr">
        <is>
          <t>Kinder Joy</t>
        </is>
      </c>
      <c r="D86" s="4" t="n">
        <v>3958.2</v>
      </c>
      <c r="E86" s="4" t="n">
        <v>1883</v>
      </c>
      <c r="F86" s="4" t="n">
        <v>6056</v>
      </c>
      <c r="G86" s="5">
        <f>IF(E86=0,"",D86/E86-1)</f>
        <v/>
      </c>
      <c r="H86">
        <f>IF(E86=0,IF(D86&gt;0,"Revisar",""),IF(ABS(G86)&gt;Parámetros!$B$3,"Revisar",""))</f>
        <v/>
      </c>
      <c r="I86" s="6">
        <f>INDEX(Desempeño!$C$4:$C$12,MATCH(C86,Desempeño!$A$4:$A$12,0))</f>
        <v/>
      </c>
      <c r="J86" s="4">
        <f>MAX(0,D86*(1-I86*Parámetros!$B$8))</f>
        <v/>
      </c>
      <c r="K86" s="4">
        <f>D86*(1+I86*Parámetros!$B$8)</f>
        <v/>
      </c>
      <c r="L86">
        <f>INDEX(Desempeño!$H$4:$H$12,MATCH(C86,Desempeño!$A$4:$A$12,0))</f>
        <v/>
      </c>
      <c r="M86">
        <f>INDEX(Desempeño!$G$4:$G$12,MATCH(C86,Desempeño!$A$4:$A$12,0))</f>
        <v/>
      </c>
      <c r="N86" s="7">
        <f>INDEX(Parámetros!$B$13:$B$21,MATCH(C86,Parámetros!$A$13:$A$21,0))</f>
        <v/>
      </c>
      <c r="O86" s="4">
        <f>D86*N86</f>
        <v/>
      </c>
    </row>
    <row r="87">
      <c r="A87" t="inlineStr">
        <is>
          <t>Octubre 2026</t>
        </is>
      </c>
      <c r="B87" t="inlineStr">
        <is>
          <t>Cuenca</t>
        </is>
      </c>
      <c r="C87" t="inlineStr">
        <is>
          <t>Noggy</t>
        </is>
      </c>
      <c r="D87" s="4" t="n">
        <v>4214.5</v>
      </c>
      <c r="E87" s="4" t="n">
        <v>6370</v>
      </c>
      <c r="F87" s="4" t="n">
        <v>3304.3</v>
      </c>
      <c r="G87" s="5">
        <f>IF(E87=0,"",D87/E87-1)</f>
        <v/>
      </c>
      <c r="H87">
        <f>IF(E87=0,IF(D87&gt;0,"Revisar",""),IF(ABS(G87)&gt;Parámetros!$B$3,"Revisar",""))</f>
        <v/>
      </c>
      <c r="I87" s="6">
        <f>INDEX(Desempeño!$C$4:$C$12,MATCH(C87,Desempeño!$A$4:$A$12,0))</f>
        <v/>
      </c>
      <c r="J87" s="4">
        <f>MAX(0,D87*(1-I87*Parámetros!$B$8))</f>
        <v/>
      </c>
      <c r="K87" s="4">
        <f>D87*(1+I87*Parámetros!$B$8)</f>
        <v/>
      </c>
      <c r="L87">
        <f>INDEX(Desempeño!$H$4:$H$12,MATCH(C87,Desempeño!$A$4:$A$12,0))</f>
        <v/>
      </c>
      <c r="M87">
        <f>INDEX(Desempeño!$G$4:$G$12,MATCH(C87,Desempeño!$A$4:$A$12,0))</f>
        <v/>
      </c>
      <c r="N87" s="7">
        <f>INDEX(Parámetros!$B$13:$B$21,MATCH(C87,Parámetros!$A$13:$A$21,0))</f>
        <v/>
      </c>
      <c r="O87" s="4">
        <f>D87*N87</f>
        <v/>
      </c>
    </row>
    <row r="88">
      <c r="A88" t="inlineStr">
        <is>
          <t>Octubre 2026</t>
        </is>
      </c>
      <c r="B88" t="inlineStr">
        <is>
          <t>Cuenca</t>
        </is>
      </c>
      <c r="C88" t="inlineStr">
        <is>
          <t>Nutella</t>
        </is>
      </c>
      <c r="D88" s="4" t="n">
        <v>14302.3</v>
      </c>
      <c r="E88" s="4" t="n">
        <v>11729</v>
      </c>
      <c r="F88" s="4" t="n">
        <v>18400</v>
      </c>
      <c r="G88" s="5">
        <f>IF(E88=0,"",D88/E88-1)</f>
        <v/>
      </c>
      <c r="H88">
        <f>IF(E88=0,IF(D88&gt;0,"Revisar",""),IF(ABS(G88)&gt;Parámetros!$B$3,"Revisar",""))</f>
        <v/>
      </c>
      <c r="I88" s="6">
        <f>INDEX(Desempeño!$C$4:$C$12,MATCH(C88,Desempeño!$A$4:$A$12,0))</f>
        <v/>
      </c>
      <c r="J88" s="4">
        <f>MAX(0,D88*(1-I88*Parámetros!$B$8))</f>
        <v/>
      </c>
      <c r="K88" s="4">
        <f>D88*(1+I88*Parámetros!$B$8)</f>
        <v/>
      </c>
      <c r="L88">
        <f>INDEX(Desempeño!$H$4:$H$12,MATCH(C88,Desempeño!$A$4:$A$12,0))</f>
        <v/>
      </c>
      <c r="M88">
        <f>INDEX(Desempeño!$G$4:$G$12,MATCH(C88,Desempeño!$A$4:$A$12,0))</f>
        <v/>
      </c>
      <c r="N88" s="7">
        <f>INDEX(Parámetros!$B$13:$B$21,MATCH(C88,Parámetros!$A$13:$A$21,0))</f>
        <v/>
      </c>
      <c r="O88" s="4">
        <f>D88*N88</f>
        <v/>
      </c>
    </row>
    <row r="89">
      <c r="A89" t="inlineStr">
        <is>
          <t>Octubre 2026</t>
        </is>
      </c>
      <c r="B89" t="inlineStr">
        <is>
          <t>Cuenca</t>
        </is>
      </c>
      <c r="C89" t="inlineStr">
        <is>
          <t>Raffaello</t>
        </is>
      </c>
      <c r="D89" s="4" t="n">
        <v>1859.4</v>
      </c>
      <c r="E89" s="4" t="n">
        <v>2469</v>
      </c>
      <c r="F89" s="4" t="n">
        <v>1735.3</v>
      </c>
      <c r="G89" s="5">
        <f>IF(E89=0,"",D89/E89-1)</f>
        <v/>
      </c>
      <c r="H89">
        <f>IF(E89=0,IF(D89&gt;0,"Revisar",""),IF(ABS(G89)&gt;Parámetros!$B$3,"Revisar",""))</f>
        <v/>
      </c>
      <c r="I89" s="6">
        <f>INDEX(Desempeño!$C$4:$C$12,MATCH(C89,Desempeño!$A$4:$A$12,0))</f>
        <v/>
      </c>
      <c r="J89" s="4">
        <f>MAX(0,D89*(1-I89*Parámetros!$B$8))</f>
        <v/>
      </c>
      <c r="K89" s="4">
        <f>D89*(1+I89*Parámetros!$B$8)</f>
        <v/>
      </c>
      <c r="L89">
        <f>INDEX(Desempeño!$H$4:$H$12,MATCH(C89,Desempeño!$A$4:$A$12,0))</f>
        <v/>
      </c>
      <c r="M89">
        <f>INDEX(Desempeño!$G$4:$G$12,MATCH(C89,Desempeño!$A$4:$A$12,0))</f>
        <v/>
      </c>
      <c r="N89" s="7">
        <f>INDEX(Parámetros!$B$13:$B$21,MATCH(C89,Parámetros!$A$13:$A$21,0))</f>
        <v/>
      </c>
      <c r="O89" s="4">
        <f>D89*N89</f>
        <v/>
      </c>
    </row>
    <row r="90">
      <c r="A90" t="inlineStr">
        <is>
          <t>Octubre 2026</t>
        </is>
      </c>
      <c r="B90" t="inlineStr">
        <is>
          <t>Cuenca</t>
        </is>
      </c>
      <c r="C90" t="inlineStr">
        <is>
          <t>Rocher</t>
        </is>
      </c>
      <c r="D90" s="4" t="n">
        <v>10002.9</v>
      </c>
      <c r="E90" s="4" t="n">
        <v>14271</v>
      </c>
      <c r="F90" s="4" t="n">
        <v>6357.7</v>
      </c>
      <c r="G90" s="5">
        <f>IF(E90=0,"",D90/E90-1)</f>
        <v/>
      </c>
      <c r="H90">
        <f>IF(E90=0,IF(D90&gt;0,"Revisar",""),IF(ABS(G90)&gt;Parámetros!$B$3,"Revisar",""))</f>
        <v/>
      </c>
      <c r="I90" s="6">
        <f>INDEX(Desempeño!$C$4:$C$12,MATCH(C90,Desempeño!$A$4:$A$12,0))</f>
        <v/>
      </c>
      <c r="J90" s="4">
        <f>MAX(0,D90*(1-I90*Parámetros!$B$8))</f>
        <v/>
      </c>
      <c r="K90" s="4">
        <f>D90*(1+I90*Parámetros!$B$8)</f>
        <v/>
      </c>
      <c r="L90">
        <f>INDEX(Desempeño!$H$4:$H$12,MATCH(C90,Desempeño!$A$4:$A$12,0))</f>
        <v/>
      </c>
      <c r="M90">
        <f>INDEX(Desempeño!$G$4:$G$12,MATCH(C90,Desempeño!$A$4:$A$12,0))</f>
        <v/>
      </c>
      <c r="N90" s="7">
        <f>INDEX(Parámetros!$B$13:$B$21,MATCH(C90,Parámetros!$A$13:$A$21,0))</f>
        <v/>
      </c>
      <c r="O90" s="4">
        <f>D90*N90</f>
        <v/>
      </c>
    </row>
    <row r="91">
      <c r="A91" t="inlineStr">
        <is>
          <t>Octubre 2026</t>
        </is>
      </c>
      <c r="B91" t="inlineStr">
        <is>
          <t>Cuenca</t>
        </is>
      </c>
      <c r="C91" t="inlineStr">
        <is>
          <t>Tic Tac</t>
        </is>
      </c>
      <c r="D91" s="4" t="n">
        <v>2550</v>
      </c>
      <c r="E91" s="4" t="n">
        <v>2688</v>
      </c>
      <c r="F91" s="4" t="n">
        <v>2678</v>
      </c>
      <c r="G91" s="5">
        <f>IF(E91=0,"",D91/E91-1)</f>
        <v/>
      </c>
      <c r="H91">
        <f>IF(E91=0,IF(D91&gt;0,"Revisar",""),IF(ABS(G91)&gt;Parámetros!$B$3,"Revisar",""))</f>
        <v/>
      </c>
      <c r="I91" s="6">
        <f>INDEX(Desempeño!$C$4:$C$12,MATCH(C91,Desempeño!$A$4:$A$12,0))</f>
        <v/>
      </c>
      <c r="J91" s="4">
        <f>MAX(0,D91*(1-I91*Parámetros!$B$8))</f>
        <v/>
      </c>
      <c r="K91" s="4">
        <f>D91*(1+I91*Parámetros!$B$8)</f>
        <v/>
      </c>
      <c r="L91">
        <f>INDEX(Desempeño!$H$4:$H$12,MATCH(C91,Desempeño!$A$4:$A$12,0))</f>
        <v/>
      </c>
      <c r="M91">
        <f>INDEX(Desempeño!$G$4:$G$12,MATCH(C91,Desempeño!$A$4:$A$12,0))</f>
        <v/>
      </c>
      <c r="N91" s="7">
        <f>INDEX(Parámetros!$B$13:$B$21,MATCH(C91,Parámetros!$A$13:$A$21,0))</f>
        <v/>
      </c>
      <c r="O91" s="4">
        <f>D91*N91</f>
        <v/>
      </c>
    </row>
    <row r="92">
      <c r="A92" t="inlineStr">
        <is>
          <t>Octubre 2026</t>
        </is>
      </c>
      <c r="B92" t="inlineStr">
        <is>
          <t>Guayaquil</t>
        </is>
      </c>
      <c r="C92" t="inlineStr">
        <is>
          <t>Hanuta</t>
        </is>
      </c>
      <c r="D92" s="4" t="n">
        <v>2206.4</v>
      </c>
      <c r="E92" s="4" t="n">
        <v>3851</v>
      </c>
      <c r="F92" s="4" t="n">
        <v>1718.3</v>
      </c>
      <c r="G92" s="5">
        <f>IF(E92=0,"",D92/E92-1)</f>
        <v/>
      </c>
      <c r="H92">
        <f>IF(E92=0,IF(D92&gt;0,"Revisar",""),IF(ABS(G92)&gt;Parámetros!$B$3,"Revisar",""))</f>
        <v/>
      </c>
      <c r="I92" s="6">
        <f>INDEX(Desempeño!$C$4:$C$12,MATCH(C92,Desempeño!$A$4:$A$12,0))</f>
        <v/>
      </c>
      <c r="J92" s="4">
        <f>MAX(0,D92*(1-I92*Parámetros!$B$8))</f>
        <v/>
      </c>
      <c r="K92" s="4">
        <f>D92*(1+I92*Parámetros!$B$8)</f>
        <v/>
      </c>
      <c r="L92">
        <f>INDEX(Desempeño!$H$4:$H$12,MATCH(C92,Desempeño!$A$4:$A$12,0))</f>
        <v/>
      </c>
      <c r="M92">
        <f>INDEX(Desempeño!$G$4:$G$12,MATCH(C92,Desempeño!$A$4:$A$12,0))</f>
        <v/>
      </c>
      <c r="N92" s="7">
        <f>INDEX(Parámetros!$B$13:$B$21,MATCH(C92,Parámetros!$A$13:$A$21,0))</f>
        <v/>
      </c>
      <c r="O92" s="4">
        <f>D92*N92</f>
        <v/>
      </c>
    </row>
    <row r="93">
      <c r="A93" t="inlineStr">
        <is>
          <t>Octubre 2026</t>
        </is>
      </c>
      <c r="B93" t="inlineStr">
        <is>
          <t>Guayaquil</t>
        </is>
      </c>
      <c r="C93" t="inlineStr">
        <is>
          <t>Kinder Bueno</t>
        </is>
      </c>
      <c r="D93" s="4" t="n">
        <v>1697.2</v>
      </c>
      <c r="E93" s="4" t="n">
        <v>2068</v>
      </c>
      <c r="F93" s="4" t="n">
        <v>1675.3</v>
      </c>
      <c r="G93" s="5">
        <f>IF(E93=0,"",D93/E93-1)</f>
        <v/>
      </c>
      <c r="H93">
        <f>IF(E93=0,IF(D93&gt;0,"Revisar",""),IF(ABS(G93)&gt;Parámetros!$B$3,"Revisar",""))</f>
        <v/>
      </c>
      <c r="I93" s="6">
        <f>INDEX(Desempeño!$C$4:$C$12,MATCH(C93,Desempeño!$A$4:$A$12,0))</f>
        <v/>
      </c>
      <c r="J93" s="4">
        <f>MAX(0,D93*(1-I93*Parámetros!$B$8))</f>
        <v/>
      </c>
      <c r="K93" s="4">
        <f>D93*(1+I93*Parámetros!$B$8)</f>
        <v/>
      </c>
      <c r="L93">
        <f>INDEX(Desempeño!$H$4:$H$12,MATCH(C93,Desempeño!$A$4:$A$12,0))</f>
        <v/>
      </c>
      <c r="M93">
        <f>INDEX(Desempeño!$G$4:$G$12,MATCH(C93,Desempeño!$A$4:$A$12,0))</f>
        <v/>
      </c>
      <c r="N93" s="7">
        <f>INDEX(Parámetros!$B$13:$B$21,MATCH(C93,Parámetros!$A$13:$A$21,0))</f>
        <v/>
      </c>
      <c r="O93" s="4">
        <f>D93*N93</f>
        <v/>
      </c>
    </row>
    <row r="94">
      <c r="A94" t="inlineStr">
        <is>
          <t>Octubre 2026</t>
        </is>
      </c>
      <c r="B94" t="inlineStr">
        <is>
          <t>Guayaquil</t>
        </is>
      </c>
      <c r="C94" t="inlineStr">
        <is>
          <t>Kinder Chocolate</t>
        </is>
      </c>
      <c r="D94" s="4" t="n">
        <v>398</v>
      </c>
      <c r="E94" s="4" t="n">
        <v>563</v>
      </c>
      <c r="F94" s="4" t="n">
        <v>342</v>
      </c>
      <c r="G94" s="5">
        <f>IF(E94=0,"",D94/E94-1)</f>
        <v/>
      </c>
      <c r="H94">
        <f>IF(E94=0,IF(D94&gt;0,"Revisar",""),IF(ABS(G94)&gt;Parámetros!$B$3,"Revisar",""))</f>
        <v/>
      </c>
      <c r="I94" s="6">
        <f>INDEX(Desempeño!$C$4:$C$12,MATCH(C94,Desempeño!$A$4:$A$12,0))</f>
        <v/>
      </c>
      <c r="J94" s="4">
        <f>MAX(0,D94*(1-I94*Parámetros!$B$8))</f>
        <v/>
      </c>
      <c r="K94" s="4">
        <f>D94*(1+I94*Parámetros!$B$8)</f>
        <v/>
      </c>
      <c r="L94">
        <f>INDEX(Desempeño!$H$4:$H$12,MATCH(C94,Desempeño!$A$4:$A$12,0))</f>
        <v/>
      </c>
      <c r="M94">
        <f>INDEX(Desempeño!$G$4:$G$12,MATCH(C94,Desempeño!$A$4:$A$12,0))</f>
        <v/>
      </c>
      <c r="N94" s="7">
        <f>INDEX(Parámetros!$B$13:$B$21,MATCH(C94,Parámetros!$A$13:$A$21,0))</f>
        <v/>
      </c>
      <c r="O94" s="4">
        <f>D94*N94</f>
        <v/>
      </c>
    </row>
    <row r="95">
      <c r="A95" t="inlineStr">
        <is>
          <t>Octubre 2026</t>
        </is>
      </c>
      <c r="B95" t="inlineStr">
        <is>
          <t>Guayaquil</t>
        </is>
      </c>
      <c r="C95" t="inlineStr">
        <is>
          <t>Kinder Joy</t>
        </is>
      </c>
      <c r="D95" s="4" t="n">
        <v>5861.7</v>
      </c>
      <c r="E95" s="4" t="n">
        <v>7011</v>
      </c>
      <c r="F95" s="4" t="n">
        <v>5381</v>
      </c>
      <c r="G95" s="5">
        <f>IF(E95=0,"",D95/E95-1)</f>
        <v/>
      </c>
      <c r="H95">
        <f>IF(E95=0,IF(D95&gt;0,"Revisar",""),IF(ABS(G95)&gt;Parámetros!$B$3,"Revisar",""))</f>
        <v/>
      </c>
      <c r="I95" s="6">
        <f>INDEX(Desempeño!$C$4:$C$12,MATCH(C95,Desempeño!$A$4:$A$12,0))</f>
        <v/>
      </c>
      <c r="J95" s="4">
        <f>MAX(0,D95*(1-I95*Parámetros!$B$8))</f>
        <v/>
      </c>
      <c r="K95" s="4">
        <f>D95*(1+I95*Parámetros!$B$8)</f>
        <v/>
      </c>
      <c r="L95">
        <f>INDEX(Desempeño!$H$4:$H$12,MATCH(C95,Desempeño!$A$4:$A$12,0))</f>
        <v/>
      </c>
      <c r="M95">
        <f>INDEX(Desempeño!$G$4:$G$12,MATCH(C95,Desempeño!$A$4:$A$12,0))</f>
        <v/>
      </c>
      <c r="N95" s="7">
        <f>INDEX(Parámetros!$B$13:$B$21,MATCH(C95,Parámetros!$A$13:$A$21,0))</f>
        <v/>
      </c>
      <c r="O95" s="4">
        <f>D95*N95</f>
        <v/>
      </c>
    </row>
    <row r="96">
      <c r="A96" t="inlineStr">
        <is>
          <t>Octubre 2026</t>
        </is>
      </c>
      <c r="B96" t="inlineStr">
        <is>
          <t>Guayaquil</t>
        </is>
      </c>
      <c r="C96" t="inlineStr">
        <is>
          <t>Noggy</t>
        </is>
      </c>
      <c r="D96" s="4" t="n">
        <v>1830.8</v>
      </c>
      <c r="E96" s="4" t="n">
        <v>2593</v>
      </c>
      <c r="F96" s="4" t="n">
        <v>1658.3</v>
      </c>
      <c r="G96" s="5">
        <f>IF(E96=0,"",D96/E96-1)</f>
        <v/>
      </c>
      <c r="H96">
        <f>IF(E96=0,IF(D96&gt;0,"Revisar",""),IF(ABS(G96)&gt;Parámetros!$B$3,"Revisar",""))</f>
        <v/>
      </c>
      <c r="I96" s="6">
        <f>INDEX(Desempeño!$C$4:$C$12,MATCH(C96,Desempeño!$A$4:$A$12,0))</f>
        <v/>
      </c>
      <c r="J96" s="4">
        <f>MAX(0,D96*(1-I96*Parámetros!$B$8))</f>
        <v/>
      </c>
      <c r="K96" s="4">
        <f>D96*(1+I96*Parámetros!$B$8)</f>
        <v/>
      </c>
      <c r="L96">
        <f>INDEX(Desempeño!$H$4:$H$12,MATCH(C96,Desempeño!$A$4:$A$12,0))</f>
        <v/>
      </c>
      <c r="M96">
        <f>INDEX(Desempeño!$G$4:$G$12,MATCH(C96,Desempeño!$A$4:$A$12,0))</f>
        <v/>
      </c>
      <c r="N96" s="7">
        <f>INDEX(Parámetros!$B$13:$B$21,MATCH(C96,Parámetros!$A$13:$A$21,0))</f>
        <v/>
      </c>
      <c r="O96" s="4">
        <f>D96*N96</f>
        <v/>
      </c>
    </row>
    <row r="97">
      <c r="A97" t="inlineStr">
        <is>
          <t>Octubre 2026</t>
        </is>
      </c>
      <c r="B97" t="inlineStr">
        <is>
          <t>Guayaquil</t>
        </is>
      </c>
      <c r="C97" t="inlineStr">
        <is>
          <t>Nutella</t>
        </is>
      </c>
      <c r="D97" s="4" t="n">
        <v>8031.1</v>
      </c>
      <c r="E97" s="4" t="n">
        <v>6969</v>
      </c>
      <c r="F97" s="4" t="n">
        <v>9297.299999999999</v>
      </c>
      <c r="G97" s="5">
        <f>IF(E97=0,"",D97/E97-1)</f>
        <v/>
      </c>
      <c r="H97">
        <f>IF(E97=0,IF(D97&gt;0,"Revisar",""),IF(ABS(G97)&gt;Parámetros!$B$3,"Revisar",""))</f>
        <v/>
      </c>
      <c r="I97" s="6">
        <f>INDEX(Desempeño!$C$4:$C$12,MATCH(C97,Desempeño!$A$4:$A$12,0))</f>
        <v/>
      </c>
      <c r="J97" s="4">
        <f>MAX(0,D97*(1-I97*Parámetros!$B$8))</f>
        <v/>
      </c>
      <c r="K97" s="4">
        <f>D97*(1+I97*Parámetros!$B$8)</f>
        <v/>
      </c>
      <c r="L97">
        <f>INDEX(Desempeño!$H$4:$H$12,MATCH(C97,Desempeño!$A$4:$A$12,0))</f>
        <v/>
      </c>
      <c r="M97">
        <f>INDEX(Desempeño!$G$4:$G$12,MATCH(C97,Desempeño!$A$4:$A$12,0))</f>
        <v/>
      </c>
      <c r="N97" s="7">
        <f>INDEX(Parámetros!$B$13:$B$21,MATCH(C97,Parámetros!$A$13:$A$21,0))</f>
        <v/>
      </c>
      <c r="O97" s="4">
        <f>D97*N97</f>
        <v/>
      </c>
    </row>
    <row r="98">
      <c r="A98" t="inlineStr">
        <is>
          <t>Octubre 2026</t>
        </is>
      </c>
      <c r="B98" t="inlineStr">
        <is>
          <t>Guayaquil</t>
        </is>
      </c>
      <c r="C98" t="inlineStr">
        <is>
          <t>Raffaello</t>
        </is>
      </c>
      <c r="D98" s="4" t="n">
        <v>530.6</v>
      </c>
      <c r="E98" s="4" t="n">
        <v>1210</v>
      </c>
      <c r="F98" s="4" t="n">
        <v>302.7</v>
      </c>
      <c r="G98" s="5">
        <f>IF(E98=0,"",D98/E98-1)</f>
        <v/>
      </c>
      <c r="H98">
        <f>IF(E98=0,IF(D98&gt;0,"Revisar",""),IF(ABS(G98)&gt;Parámetros!$B$3,"Revisar",""))</f>
        <v/>
      </c>
      <c r="I98" s="6">
        <f>INDEX(Desempeño!$C$4:$C$12,MATCH(C98,Desempeño!$A$4:$A$12,0))</f>
        <v/>
      </c>
      <c r="J98" s="4">
        <f>MAX(0,D98*(1-I98*Parámetros!$B$8))</f>
        <v/>
      </c>
      <c r="K98" s="4">
        <f>D98*(1+I98*Parámetros!$B$8)</f>
        <v/>
      </c>
      <c r="L98">
        <f>INDEX(Desempeño!$H$4:$H$12,MATCH(C98,Desempeño!$A$4:$A$12,0))</f>
        <v/>
      </c>
      <c r="M98">
        <f>INDEX(Desempeño!$G$4:$G$12,MATCH(C98,Desempeño!$A$4:$A$12,0))</f>
        <v/>
      </c>
      <c r="N98" s="7">
        <f>INDEX(Parámetros!$B$13:$B$21,MATCH(C98,Parámetros!$A$13:$A$21,0))</f>
        <v/>
      </c>
      <c r="O98" s="4">
        <f>D98*N98</f>
        <v/>
      </c>
    </row>
    <row r="99">
      <c r="A99" t="inlineStr">
        <is>
          <t>Octubre 2026</t>
        </is>
      </c>
      <c r="B99" t="inlineStr">
        <is>
          <t>Guayaquil</t>
        </is>
      </c>
      <c r="C99" t="inlineStr">
        <is>
          <t>Rocher</t>
        </is>
      </c>
      <c r="D99" s="4" t="n">
        <v>7268.9</v>
      </c>
      <c r="E99" s="4" t="n">
        <v>9684</v>
      </c>
      <c r="F99" s="4" t="n">
        <v>5359.7</v>
      </c>
      <c r="G99" s="5">
        <f>IF(E99=0,"",D99/E99-1)</f>
        <v/>
      </c>
      <c r="H99">
        <f>IF(E99=0,IF(D99&gt;0,"Revisar",""),IF(ABS(G99)&gt;Parámetros!$B$3,"Revisar",""))</f>
        <v/>
      </c>
      <c r="I99" s="6">
        <f>INDEX(Desempeño!$C$4:$C$12,MATCH(C99,Desempeño!$A$4:$A$12,0))</f>
        <v/>
      </c>
      <c r="J99" s="4">
        <f>MAX(0,D99*(1-I99*Parámetros!$B$8))</f>
        <v/>
      </c>
      <c r="K99" s="4">
        <f>D99*(1+I99*Parámetros!$B$8)</f>
        <v/>
      </c>
      <c r="L99">
        <f>INDEX(Desempeño!$H$4:$H$12,MATCH(C99,Desempeño!$A$4:$A$12,0))</f>
        <v/>
      </c>
      <c r="M99">
        <f>INDEX(Desempeño!$G$4:$G$12,MATCH(C99,Desempeño!$A$4:$A$12,0))</f>
        <v/>
      </c>
      <c r="N99" s="7">
        <f>INDEX(Parámetros!$B$13:$B$21,MATCH(C99,Parámetros!$A$13:$A$21,0))</f>
        <v/>
      </c>
      <c r="O99" s="4">
        <f>D99*N99</f>
        <v/>
      </c>
    </row>
    <row r="100">
      <c r="A100" t="inlineStr">
        <is>
          <t>Octubre 2026</t>
        </is>
      </c>
      <c r="B100" t="inlineStr">
        <is>
          <t>Guayaquil</t>
        </is>
      </c>
      <c r="C100" t="inlineStr">
        <is>
          <t>Tic Tac</t>
        </is>
      </c>
      <c r="D100" s="4" t="n">
        <v>3500.4</v>
      </c>
      <c r="E100" s="4" t="n">
        <v>3863</v>
      </c>
      <c r="F100" s="4" t="n">
        <v>2986</v>
      </c>
      <c r="G100" s="5">
        <f>IF(E100=0,"",D100/E100-1)</f>
        <v/>
      </c>
      <c r="H100">
        <f>IF(E100=0,IF(D100&gt;0,"Revisar",""),IF(ABS(G100)&gt;Parámetros!$B$3,"Revisar",""))</f>
        <v/>
      </c>
      <c r="I100" s="6">
        <f>INDEX(Desempeño!$C$4:$C$12,MATCH(C100,Desempeño!$A$4:$A$12,0))</f>
        <v/>
      </c>
      <c r="J100" s="4">
        <f>MAX(0,D100*(1-I100*Parámetros!$B$8))</f>
        <v/>
      </c>
      <c r="K100" s="4">
        <f>D100*(1+I100*Parámetros!$B$8)</f>
        <v/>
      </c>
      <c r="L100">
        <f>INDEX(Desempeño!$H$4:$H$12,MATCH(C100,Desempeño!$A$4:$A$12,0))</f>
        <v/>
      </c>
      <c r="M100">
        <f>INDEX(Desempeño!$G$4:$G$12,MATCH(C100,Desempeño!$A$4:$A$12,0))</f>
        <v/>
      </c>
      <c r="N100" s="7">
        <f>INDEX(Parámetros!$B$13:$B$21,MATCH(C100,Parámetros!$A$13:$A$21,0))</f>
        <v/>
      </c>
      <c r="O100" s="4">
        <f>D100*N100</f>
        <v/>
      </c>
    </row>
    <row r="101">
      <c r="A101" t="inlineStr">
        <is>
          <t>Octubre 2026</t>
        </is>
      </c>
      <c r="B101" t="inlineStr">
        <is>
          <t>Ibarra</t>
        </is>
      </c>
      <c r="C101" t="inlineStr">
        <is>
          <t>Hanuta</t>
        </is>
      </c>
      <c r="D101" s="4" t="n">
        <v>146</v>
      </c>
      <c r="E101" s="4" t="n">
        <v>187</v>
      </c>
      <c r="F101" s="4" t="n">
        <v>124.7</v>
      </c>
      <c r="G101" s="5">
        <f>IF(E101=0,"",D101/E101-1)</f>
        <v/>
      </c>
      <c r="H101">
        <f>IF(E101=0,IF(D101&gt;0,"Revisar",""),IF(ABS(G101)&gt;Parámetros!$B$3,"Revisar",""))</f>
        <v/>
      </c>
      <c r="I101" s="6">
        <f>INDEX(Desempeño!$C$4:$C$12,MATCH(C101,Desempeño!$A$4:$A$12,0))</f>
        <v/>
      </c>
      <c r="J101" s="4">
        <f>MAX(0,D101*(1-I101*Parámetros!$B$8))</f>
        <v/>
      </c>
      <c r="K101" s="4">
        <f>D101*(1+I101*Parámetros!$B$8)</f>
        <v/>
      </c>
      <c r="L101">
        <f>INDEX(Desempeño!$H$4:$H$12,MATCH(C101,Desempeño!$A$4:$A$12,0))</f>
        <v/>
      </c>
      <c r="M101">
        <f>INDEX(Desempeño!$G$4:$G$12,MATCH(C101,Desempeño!$A$4:$A$12,0))</f>
        <v/>
      </c>
      <c r="N101" s="7">
        <f>INDEX(Parámetros!$B$13:$B$21,MATCH(C101,Parámetros!$A$13:$A$21,0))</f>
        <v/>
      </c>
      <c r="O101" s="4">
        <f>D101*N101</f>
        <v/>
      </c>
    </row>
    <row r="102">
      <c r="A102" t="inlineStr">
        <is>
          <t>Octubre 2026</t>
        </is>
      </c>
      <c r="B102" t="inlineStr">
        <is>
          <t>Ibarra</t>
        </is>
      </c>
      <c r="C102" t="inlineStr">
        <is>
          <t>Kinder Bueno</t>
        </is>
      </c>
      <c r="D102" s="4" t="n">
        <v>331</v>
      </c>
      <c r="E102" s="4" t="n">
        <v>166</v>
      </c>
      <c r="F102" s="4" t="n">
        <v>314</v>
      </c>
      <c r="G102" s="5">
        <f>IF(E102=0,"",D102/E102-1)</f>
        <v/>
      </c>
      <c r="H102">
        <f>IF(E102=0,IF(D102&gt;0,"Revisar",""),IF(ABS(G102)&gt;Parámetros!$B$3,"Revisar",""))</f>
        <v/>
      </c>
      <c r="I102" s="6">
        <f>INDEX(Desempeño!$C$4:$C$12,MATCH(C102,Desempeño!$A$4:$A$12,0))</f>
        <v/>
      </c>
      <c r="J102" s="4">
        <f>MAX(0,D102*(1-I102*Parámetros!$B$8))</f>
        <v/>
      </c>
      <c r="K102" s="4">
        <f>D102*(1+I102*Parámetros!$B$8)</f>
        <v/>
      </c>
      <c r="L102">
        <f>INDEX(Desempeño!$H$4:$H$12,MATCH(C102,Desempeño!$A$4:$A$12,0))</f>
        <v/>
      </c>
      <c r="M102">
        <f>INDEX(Desempeño!$G$4:$G$12,MATCH(C102,Desempeño!$A$4:$A$12,0))</f>
        <v/>
      </c>
      <c r="N102" s="7">
        <f>INDEX(Parámetros!$B$13:$B$21,MATCH(C102,Parámetros!$A$13:$A$21,0))</f>
        <v/>
      </c>
      <c r="O102" s="4">
        <f>D102*N102</f>
        <v/>
      </c>
    </row>
    <row r="103">
      <c r="A103" t="inlineStr">
        <is>
          <t>Octubre 2026</t>
        </is>
      </c>
      <c r="B103" t="inlineStr">
        <is>
          <t>Ibarra</t>
        </is>
      </c>
      <c r="C103" t="inlineStr">
        <is>
          <t>Kinder Chocolate</t>
        </is>
      </c>
      <c r="D103" s="4" t="n">
        <v>80.7</v>
      </c>
      <c r="E103" s="4" t="n">
        <v>110</v>
      </c>
      <c r="F103" s="4" t="n">
        <v>53.3</v>
      </c>
      <c r="G103" s="5">
        <f>IF(E103=0,"",D103/E103-1)</f>
        <v/>
      </c>
      <c r="H103">
        <f>IF(E103=0,IF(D103&gt;0,"Revisar",""),IF(ABS(G103)&gt;Parámetros!$B$3,"Revisar",""))</f>
        <v/>
      </c>
      <c r="I103" s="6">
        <f>INDEX(Desempeño!$C$4:$C$12,MATCH(C103,Desempeño!$A$4:$A$12,0))</f>
        <v/>
      </c>
      <c r="J103" s="4">
        <f>MAX(0,D103*(1-I103*Parámetros!$B$8))</f>
        <v/>
      </c>
      <c r="K103" s="4">
        <f>D103*(1+I103*Parámetros!$B$8)</f>
        <v/>
      </c>
      <c r="L103">
        <f>INDEX(Desempeño!$H$4:$H$12,MATCH(C103,Desempeño!$A$4:$A$12,0))</f>
        <v/>
      </c>
      <c r="M103">
        <f>INDEX(Desempeño!$G$4:$G$12,MATCH(C103,Desempeño!$A$4:$A$12,0))</f>
        <v/>
      </c>
      <c r="N103" s="7">
        <f>INDEX(Parámetros!$B$13:$B$21,MATCH(C103,Parámetros!$A$13:$A$21,0))</f>
        <v/>
      </c>
      <c r="O103" s="4">
        <f>D103*N103</f>
        <v/>
      </c>
    </row>
    <row r="104">
      <c r="A104" t="inlineStr">
        <is>
          <t>Octubre 2026</t>
        </is>
      </c>
      <c r="B104" t="inlineStr">
        <is>
          <t>Ibarra</t>
        </is>
      </c>
      <c r="C104" t="inlineStr">
        <is>
          <t>Kinder Joy</t>
        </is>
      </c>
      <c r="D104" s="4" t="n">
        <v>938.9</v>
      </c>
      <c r="E104" s="4" t="n">
        <v>77</v>
      </c>
      <c r="F104" s="4" t="n">
        <v>999</v>
      </c>
      <c r="G104" s="5">
        <f>IF(E104=0,"",D104/E104-1)</f>
        <v/>
      </c>
      <c r="H104">
        <f>IF(E104=0,IF(D104&gt;0,"Revisar",""),IF(ABS(G104)&gt;Parámetros!$B$3,"Revisar",""))</f>
        <v/>
      </c>
      <c r="I104" s="6">
        <f>INDEX(Desempeño!$C$4:$C$12,MATCH(C104,Desempeño!$A$4:$A$12,0))</f>
        <v/>
      </c>
      <c r="J104" s="4">
        <f>MAX(0,D104*(1-I104*Parámetros!$B$8))</f>
        <v/>
      </c>
      <c r="K104" s="4">
        <f>D104*(1+I104*Parámetros!$B$8)</f>
        <v/>
      </c>
      <c r="L104">
        <f>INDEX(Desempeño!$H$4:$H$12,MATCH(C104,Desempeño!$A$4:$A$12,0))</f>
        <v/>
      </c>
      <c r="M104">
        <f>INDEX(Desempeño!$G$4:$G$12,MATCH(C104,Desempeño!$A$4:$A$12,0))</f>
        <v/>
      </c>
      <c r="N104" s="7">
        <f>INDEX(Parámetros!$B$13:$B$21,MATCH(C104,Parámetros!$A$13:$A$21,0))</f>
        <v/>
      </c>
      <c r="O104" s="4">
        <f>D104*N104</f>
        <v/>
      </c>
    </row>
    <row r="105">
      <c r="A105" t="inlineStr">
        <is>
          <t>Octubre 2026</t>
        </is>
      </c>
      <c r="B105" t="inlineStr">
        <is>
          <t>Ibarra</t>
        </is>
      </c>
      <c r="C105" t="inlineStr">
        <is>
          <t>Noggy</t>
        </is>
      </c>
      <c r="D105" s="4" t="n">
        <v>655.8</v>
      </c>
      <c r="E105" s="4" t="n">
        <v>763</v>
      </c>
      <c r="F105" s="4" t="n">
        <v>606.7</v>
      </c>
      <c r="G105" s="5">
        <f>IF(E105=0,"",D105/E105-1)</f>
        <v/>
      </c>
      <c r="H105">
        <f>IF(E105=0,IF(D105&gt;0,"Revisar",""),IF(ABS(G105)&gt;Parámetros!$B$3,"Revisar",""))</f>
        <v/>
      </c>
      <c r="I105" s="6">
        <f>INDEX(Desempeño!$C$4:$C$12,MATCH(C105,Desempeño!$A$4:$A$12,0))</f>
        <v/>
      </c>
      <c r="J105" s="4">
        <f>MAX(0,D105*(1-I105*Parámetros!$B$8))</f>
        <v/>
      </c>
      <c r="K105" s="4">
        <f>D105*(1+I105*Parámetros!$B$8)</f>
        <v/>
      </c>
      <c r="L105">
        <f>INDEX(Desempeño!$H$4:$H$12,MATCH(C105,Desempeño!$A$4:$A$12,0))</f>
        <v/>
      </c>
      <c r="M105">
        <f>INDEX(Desempeño!$G$4:$G$12,MATCH(C105,Desempeño!$A$4:$A$12,0))</f>
        <v/>
      </c>
      <c r="N105" s="7">
        <f>INDEX(Parámetros!$B$13:$B$21,MATCH(C105,Parámetros!$A$13:$A$21,0))</f>
        <v/>
      </c>
      <c r="O105" s="4">
        <f>D105*N105</f>
        <v/>
      </c>
    </row>
    <row r="106">
      <c r="A106" t="inlineStr">
        <is>
          <t>Octubre 2026</t>
        </is>
      </c>
      <c r="B106" t="inlineStr">
        <is>
          <t>Ibarra</t>
        </is>
      </c>
      <c r="C106" t="inlineStr">
        <is>
          <t>Nutella</t>
        </is>
      </c>
      <c r="D106" s="4" t="n">
        <v>829.8</v>
      </c>
      <c r="E106" s="4" t="n">
        <v>582</v>
      </c>
      <c r="F106" s="4" t="n">
        <v>790.3</v>
      </c>
      <c r="G106" s="5">
        <f>IF(E106=0,"",D106/E106-1)</f>
        <v/>
      </c>
      <c r="H106">
        <f>IF(E106=0,IF(D106&gt;0,"Revisar",""),IF(ABS(G106)&gt;Parámetros!$B$3,"Revisar",""))</f>
        <v/>
      </c>
      <c r="I106" s="6">
        <f>INDEX(Desempeño!$C$4:$C$12,MATCH(C106,Desempeño!$A$4:$A$12,0))</f>
        <v/>
      </c>
      <c r="J106" s="4">
        <f>MAX(0,D106*(1-I106*Parámetros!$B$8))</f>
        <v/>
      </c>
      <c r="K106" s="4">
        <f>D106*(1+I106*Parámetros!$B$8)</f>
        <v/>
      </c>
      <c r="L106">
        <f>INDEX(Desempeño!$H$4:$H$12,MATCH(C106,Desempeño!$A$4:$A$12,0))</f>
        <v/>
      </c>
      <c r="M106">
        <f>INDEX(Desempeño!$G$4:$G$12,MATCH(C106,Desempeño!$A$4:$A$12,0))</f>
        <v/>
      </c>
      <c r="N106" s="7">
        <f>INDEX(Parámetros!$B$13:$B$21,MATCH(C106,Parámetros!$A$13:$A$21,0))</f>
        <v/>
      </c>
      <c r="O106" s="4">
        <f>D106*N106</f>
        <v/>
      </c>
    </row>
    <row r="107">
      <c r="A107" t="inlineStr">
        <is>
          <t>Octubre 2026</t>
        </is>
      </c>
      <c r="B107" t="inlineStr">
        <is>
          <t>Ibarra</t>
        </is>
      </c>
      <c r="C107" t="inlineStr">
        <is>
          <t>Raffaello</t>
        </is>
      </c>
      <c r="D107" s="4" t="n">
        <v>315.9</v>
      </c>
      <c r="E107" s="4" t="n">
        <v>252</v>
      </c>
      <c r="F107" s="4" t="n">
        <v>291.3</v>
      </c>
      <c r="G107" s="5">
        <f>IF(E107=0,"",D107/E107-1)</f>
        <v/>
      </c>
      <c r="H107">
        <f>IF(E107=0,IF(D107&gt;0,"Revisar",""),IF(ABS(G107)&gt;Parámetros!$B$3,"Revisar",""))</f>
        <v/>
      </c>
      <c r="I107" s="6">
        <f>INDEX(Desempeño!$C$4:$C$12,MATCH(C107,Desempeño!$A$4:$A$12,0))</f>
        <v/>
      </c>
      <c r="J107" s="4">
        <f>MAX(0,D107*(1-I107*Parámetros!$B$8))</f>
        <v/>
      </c>
      <c r="K107" s="4">
        <f>D107*(1+I107*Parámetros!$B$8)</f>
        <v/>
      </c>
      <c r="L107">
        <f>INDEX(Desempeño!$H$4:$H$12,MATCH(C107,Desempeño!$A$4:$A$12,0))</f>
        <v/>
      </c>
      <c r="M107">
        <f>INDEX(Desempeño!$G$4:$G$12,MATCH(C107,Desempeño!$A$4:$A$12,0))</f>
        <v/>
      </c>
      <c r="N107" s="7">
        <f>INDEX(Parámetros!$B$13:$B$21,MATCH(C107,Parámetros!$A$13:$A$21,0))</f>
        <v/>
      </c>
      <c r="O107" s="4">
        <f>D107*N107</f>
        <v/>
      </c>
    </row>
    <row r="108">
      <c r="A108" t="inlineStr">
        <is>
          <t>Octubre 2026</t>
        </is>
      </c>
      <c r="B108" t="inlineStr">
        <is>
          <t>Ibarra</t>
        </is>
      </c>
      <c r="C108" t="inlineStr">
        <is>
          <t>Rocher</t>
        </is>
      </c>
      <c r="D108" s="4" t="n">
        <v>932.9</v>
      </c>
      <c r="E108" s="4" t="n">
        <v>820</v>
      </c>
      <c r="F108" s="4" t="n">
        <v>770.3</v>
      </c>
      <c r="G108" s="5">
        <f>IF(E108=0,"",D108/E108-1)</f>
        <v/>
      </c>
      <c r="H108">
        <f>IF(E108=0,IF(D108&gt;0,"Revisar",""),IF(ABS(G108)&gt;Parámetros!$B$3,"Revisar",""))</f>
        <v/>
      </c>
      <c r="I108" s="6">
        <f>INDEX(Desempeño!$C$4:$C$12,MATCH(C108,Desempeño!$A$4:$A$12,0))</f>
        <v/>
      </c>
      <c r="J108" s="4">
        <f>MAX(0,D108*(1-I108*Parámetros!$B$8))</f>
        <v/>
      </c>
      <c r="K108" s="4">
        <f>D108*(1+I108*Parámetros!$B$8)</f>
        <v/>
      </c>
      <c r="L108">
        <f>INDEX(Desempeño!$H$4:$H$12,MATCH(C108,Desempeño!$A$4:$A$12,0))</f>
        <v/>
      </c>
      <c r="M108">
        <f>INDEX(Desempeño!$G$4:$G$12,MATCH(C108,Desempeño!$A$4:$A$12,0))</f>
        <v/>
      </c>
      <c r="N108" s="7">
        <f>INDEX(Parámetros!$B$13:$B$21,MATCH(C108,Parámetros!$A$13:$A$21,0))</f>
        <v/>
      </c>
      <c r="O108" s="4">
        <f>D108*N108</f>
        <v/>
      </c>
    </row>
    <row r="109">
      <c r="A109" t="inlineStr">
        <is>
          <t>Octubre 2026</t>
        </is>
      </c>
      <c r="B109" t="inlineStr">
        <is>
          <t>Ibarra</t>
        </is>
      </c>
      <c r="C109" t="inlineStr">
        <is>
          <t>Tic Tac</t>
        </is>
      </c>
      <c r="D109" s="4" t="n">
        <v>347.9</v>
      </c>
      <c r="E109" s="4" t="n">
        <v>367</v>
      </c>
      <c r="F109" s="4" t="n">
        <v>338.7</v>
      </c>
      <c r="G109" s="5">
        <f>IF(E109=0,"",D109/E109-1)</f>
        <v/>
      </c>
      <c r="H109">
        <f>IF(E109=0,IF(D109&gt;0,"Revisar",""),IF(ABS(G109)&gt;Parámetros!$B$3,"Revisar",""))</f>
        <v/>
      </c>
      <c r="I109" s="6">
        <f>INDEX(Desempeño!$C$4:$C$12,MATCH(C109,Desempeño!$A$4:$A$12,0))</f>
        <v/>
      </c>
      <c r="J109" s="4">
        <f>MAX(0,D109*(1-I109*Parámetros!$B$8))</f>
        <v/>
      </c>
      <c r="K109" s="4">
        <f>D109*(1+I109*Parámetros!$B$8)</f>
        <v/>
      </c>
      <c r="L109">
        <f>INDEX(Desempeño!$H$4:$H$12,MATCH(C109,Desempeño!$A$4:$A$12,0))</f>
        <v/>
      </c>
      <c r="M109">
        <f>INDEX(Desempeño!$G$4:$G$12,MATCH(C109,Desempeño!$A$4:$A$12,0))</f>
        <v/>
      </c>
      <c r="N109" s="7">
        <f>INDEX(Parámetros!$B$13:$B$21,MATCH(C109,Parámetros!$A$13:$A$21,0))</f>
        <v/>
      </c>
      <c r="O109" s="4">
        <f>D109*N109</f>
        <v/>
      </c>
    </row>
    <row r="110">
      <c r="A110" t="inlineStr">
        <is>
          <t>Octubre 2026</t>
        </is>
      </c>
      <c r="B110" t="inlineStr">
        <is>
          <t>Lago Agrio</t>
        </is>
      </c>
      <c r="C110" t="inlineStr">
        <is>
          <t>Hanuta</t>
        </is>
      </c>
      <c r="D110" s="4" t="n">
        <v>205.3</v>
      </c>
      <c r="E110" s="4" t="n">
        <v>205</v>
      </c>
      <c r="F110" s="4" t="n">
        <v>183</v>
      </c>
      <c r="G110" s="5">
        <f>IF(E110=0,"",D110/E110-1)</f>
        <v/>
      </c>
      <c r="H110">
        <f>IF(E110=0,IF(D110&gt;0,"Revisar",""),IF(ABS(G110)&gt;Parámetros!$B$3,"Revisar",""))</f>
        <v/>
      </c>
      <c r="I110" s="6">
        <f>INDEX(Desempeño!$C$4:$C$12,MATCH(C110,Desempeño!$A$4:$A$12,0))</f>
        <v/>
      </c>
      <c r="J110" s="4">
        <f>MAX(0,D110*(1-I110*Parámetros!$B$8))</f>
        <v/>
      </c>
      <c r="K110" s="4">
        <f>D110*(1+I110*Parámetros!$B$8)</f>
        <v/>
      </c>
      <c r="L110">
        <f>INDEX(Desempeño!$H$4:$H$12,MATCH(C110,Desempeño!$A$4:$A$12,0))</f>
        <v/>
      </c>
      <c r="M110">
        <f>INDEX(Desempeño!$G$4:$G$12,MATCH(C110,Desempeño!$A$4:$A$12,0))</f>
        <v/>
      </c>
      <c r="N110" s="7">
        <f>INDEX(Parámetros!$B$13:$B$21,MATCH(C110,Parámetros!$A$13:$A$21,0))</f>
        <v/>
      </c>
      <c r="O110" s="4">
        <f>D110*N110</f>
        <v/>
      </c>
    </row>
    <row r="111">
      <c r="A111" t="inlineStr">
        <is>
          <t>Octubre 2026</t>
        </is>
      </c>
      <c r="B111" t="inlineStr">
        <is>
          <t>Lago Agrio</t>
        </is>
      </c>
      <c r="C111" t="inlineStr">
        <is>
          <t>Kinder Bueno</t>
        </is>
      </c>
      <c r="D111" s="4" t="n">
        <v>139</v>
      </c>
      <c r="E111" s="4" t="n">
        <v>126</v>
      </c>
      <c r="F111" s="4" t="n">
        <v>121.3</v>
      </c>
      <c r="G111" s="5">
        <f>IF(E111=0,"",D111/E111-1)</f>
        <v/>
      </c>
      <c r="H111">
        <f>IF(E111=0,IF(D111&gt;0,"Revisar",""),IF(ABS(G111)&gt;Parámetros!$B$3,"Revisar",""))</f>
        <v/>
      </c>
      <c r="I111" s="6">
        <f>INDEX(Desempeño!$C$4:$C$12,MATCH(C111,Desempeño!$A$4:$A$12,0))</f>
        <v/>
      </c>
      <c r="J111" s="4">
        <f>MAX(0,D111*(1-I111*Parámetros!$B$8))</f>
        <v/>
      </c>
      <c r="K111" s="4">
        <f>D111*(1+I111*Parámetros!$B$8)</f>
        <v/>
      </c>
      <c r="L111">
        <f>INDEX(Desempeño!$H$4:$H$12,MATCH(C111,Desempeño!$A$4:$A$12,0))</f>
        <v/>
      </c>
      <c r="M111">
        <f>INDEX(Desempeño!$G$4:$G$12,MATCH(C111,Desempeño!$A$4:$A$12,0))</f>
        <v/>
      </c>
      <c r="N111" s="7">
        <f>INDEX(Parámetros!$B$13:$B$21,MATCH(C111,Parámetros!$A$13:$A$21,0))</f>
        <v/>
      </c>
      <c r="O111" s="4">
        <f>D111*N111</f>
        <v/>
      </c>
    </row>
    <row r="112">
      <c r="A112" t="inlineStr">
        <is>
          <t>Octubre 2026</t>
        </is>
      </c>
      <c r="B112" t="inlineStr">
        <is>
          <t>Lago Agrio</t>
        </is>
      </c>
      <c r="C112" t="inlineStr">
        <is>
          <t>Kinder Chocolate</t>
        </is>
      </c>
      <c r="D112" s="4" t="n">
        <v>17.7</v>
      </c>
      <c r="E112" s="4" t="n">
        <v>9</v>
      </c>
      <c r="F112" s="4" t="n">
        <v>12.3</v>
      </c>
      <c r="G112" s="5">
        <f>IF(E112=0,"",D112/E112-1)</f>
        <v/>
      </c>
      <c r="H112">
        <f>IF(E112=0,IF(D112&gt;0,"Revisar",""),IF(ABS(G112)&gt;Parámetros!$B$3,"Revisar",""))</f>
        <v/>
      </c>
      <c r="I112" s="6">
        <f>INDEX(Desempeño!$C$4:$C$12,MATCH(C112,Desempeño!$A$4:$A$12,0))</f>
        <v/>
      </c>
      <c r="J112" s="4">
        <f>MAX(0,D112*(1-I112*Parámetros!$B$8))</f>
        <v/>
      </c>
      <c r="K112" s="4">
        <f>D112*(1+I112*Parámetros!$B$8)</f>
        <v/>
      </c>
      <c r="L112">
        <f>INDEX(Desempeño!$H$4:$H$12,MATCH(C112,Desempeño!$A$4:$A$12,0))</f>
        <v/>
      </c>
      <c r="M112">
        <f>INDEX(Desempeño!$G$4:$G$12,MATCH(C112,Desempeño!$A$4:$A$12,0))</f>
        <v/>
      </c>
      <c r="N112" s="7">
        <f>INDEX(Parámetros!$B$13:$B$21,MATCH(C112,Parámetros!$A$13:$A$21,0))</f>
        <v/>
      </c>
      <c r="O112" s="4">
        <f>D112*N112</f>
        <v/>
      </c>
    </row>
    <row r="113">
      <c r="A113" t="inlineStr">
        <is>
          <t>Octubre 2026</t>
        </is>
      </c>
      <c r="B113" t="inlineStr">
        <is>
          <t>Lago Agrio</t>
        </is>
      </c>
      <c r="C113" t="inlineStr">
        <is>
          <t>Kinder Joy</t>
        </is>
      </c>
      <c r="D113" s="4" t="n">
        <v>1275</v>
      </c>
      <c r="E113" s="4" t="n">
        <v>519</v>
      </c>
      <c r="F113" s="4" t="n">
        <v>1452.3</v>
      </c>
      <c r="G113" s="5">
        <f>IF(E113=0,"",D113/E113-1)</f>
        <v/>
      </c>
      <c r="H113">
        <f>IF(E113=0,IF(D113&gt;0,"Revisar",""),IF(ABS(G113)&gt;Parámetros!$B$3,"Revisar",""))</f>
        <v/>
      </c>
      <c r="I113" s="6">
        <f>INDEX(Desempeño!$C$4:$C$12,MATCH(C113,Desempeño!$A$4:$A$12,0))</f>
        <v/>
      </c>
      <c r="J113" s="4">
        <f>MAX(0,D113*(1-I113*Parámetros!$B$8))</f>
        <v/>
      </c>
      <c r="K113" s="4">
        <f>D113*(1+I113*Parámetros!$B$8)</f>
        <v/>
      </c>
      <c r="L113">
        <f>INDEX(Desempeño!$H$4:$H$12,MATCH(C113,Desempeño!$A$4:$A$12,0))</f>
        <v/>
      </c>
      <c r="M113">
        <f>INDEX(Desempeño!$G$4:$G$12,MATCH(C113,Desempeño!$A$4:$A$12,0))</f>
        <v/>
      </c>
      <c r="N113" s="7">
        <f>INDEX(Parámetros!$B$13:$B$21,MATCH(C113,Parámetros!$A$13:$A$21,0))</f>
        <v/>
      </c>
      <c r="O113" s="4">
        <f>D113*N113</f>
        <v/>
      </c>
    </row>
    <row r="114">
      <c r="A114" t="inlineStr">
        <is>
          <t>Octubre 2026</t>
        </is>
      </c>
      <c r="B114" t="inlineStr">
        <is>
          <t>Lago Agrio</t>
        </is>
      </c>
      <c r="C114" t="inlineStr">
        <is>
          <t>Noggy</t>
        </is>
      </c>
      <c r="D114" s="4" t="n">
        <v>585.3</v>
      </c>
      <c r="E114" s="4" t="n">
        <v>755</v>
      </c>
      <c r="F114" s="4" t="n">
        <v>501.3</v>
      </c>
      <c r="G114" s="5">
        <f>IF(E114=0,"",D114/E114-1)</f>
        <v/>
      </c>
      <c r="H114">
        <f>IF(E114=0,IF(D114&gt;0,"Revisar",""),IF(ABS(G114)&gt;Parámetros!$B$3,"Revisar",""))</f>
        <v/>
      </c>
      <c r="I114" s="6">
        <f>INDEX(Desempeño!$C$4:$C$12,MATCH(C114,Desempeño!$A$4:$A$12,0))</f>
        <v/>
      </c>
      <c r="J114" s="4">
        <f>MAX(0,D114*(1-I114*Parámetros!$B$8))</f>
        <v/>
      </c>
      <c r="K114" s="4">
        <f>D114*(1+I114*Parámetros!$B$8)</f>
        <v/>
      </c>
      <c r="L114">
        <f>INDEX(Desempeño!$H$4:$H$12,MATCH(C114,Desempeño!$A$4:$A$12,0))</f>
        <v/>
      </c>
      <c r="M114">
        <f>INDEX(Desempeño!$G$4:$G$12,MATCH(C114,Desempeño!$A$4:$A$12,0))</f>
        <v/>
      </c>
      <c r="N114" s="7">
        <f>INDEX(Parámetros!$B$13:$B$21,MATCH(C114,Parámetros!$A$13:$A$21,0))</f>
        <v/>
      </c>
      <c r="O114" s="4">
        <f>D114*N114</f>
        <v/>
      </c>
    </row>
    <row r="115">
      <c r="A115" t="inlineStr">
        <is>
          <t>Octubre 2026</t>
        </is>
      </c>
      <c r="B115" t="inlineStr">
        <is>
          <t>Lago Agrio</t>
        </is>
      </c>
      <c r="C115" t="inlineStr">
        <is>
          <t>Nutella</t>
        </is>
      </c>
      <c r="D115" s="4" t="n">
        <v>1724.4</v>
      </c>
      <c r="E115" s="4" t="n">
        <v>1422</v>
      </c>
      <c r="F115" s="4" t="n">
        <v>1772.7</v>
      </c>
      <c r="G115" s="5">
        <f>IF(E115=0,"",D115/E115-1)</f>
        <v/>
      </c>
      <c r="H115">
        <f>IF(E115=0,IF(D115&gt;0,"Revisar",""),IF(ABS(G115)&gt;Parámetros!$B$3,"Revisar",""))</f>
        <v/>
      </c>
      <c r="I115" s="6">
        <f>INDEX(Desempeño!$C$4:$C$12,MATCH(C115,Desempeño!$A$4:$A$12,0))</f>
        <v/>
      </c>
      <c r="J115" s="4">
        <f>MAX(0,D115*(1-I115*Parámetros!$B$8))</f>
        <v/>
      </c>
      <c r="K115" s="4">
        <f>D115*(1+I115*Parámetros!$B$8)</f>
        <v/>
      </c>
      <c r="L115">
        <f>INDEX(Desempeño!$H$4:$H$12,MATCH(C115,Desempeño!$A$4:$A$12,0))</f>
        <v/>
      </c>
      <c r="M115">
        <f>INDEX(Desempeño!$G$4:$G$12,MATCH(C115,Desempeño!$A$4:$A$12,0))</f>
        <v/>
      </c>
      <c r="N115" s="7">
        <f>INDEX(Parámetros!$B$13:$B$21,MATCH(C115,Parámetros!$A$13:$A$21,0))</f>
        <v/>
      </c>
      <c r="O115" s="4">
        <f>D115*N115</f>
        <v/>
      </c>
    </row>
    <row r="116">
      <c r="A116" t="inlineStr">
        <is>
          <t>Octubre 2026</t>
        </is>
      </c>
      <c r="B116" t="inlineStr">
        <is>
          <t>Lago Agrio</t>
        </is>
      </c>
      <c r="C116" t="inlineStr">
        <is>
          <t>Raffaello</t>
        </is>
      </c>
      <c r="D116" s="4" t="n">
        <v>156.5</v>
      </c>
      <c r="E116" s="4" t="n">
        <v>149</v>
      </c>
      <c r="F116" s="4" t="n">
        <v>126.3</v>
      </c>
      <c r="G116" s="5">
        <f>IF(E116=0,"",D116/E116-1)</f>
        <v/>
      </c>
      <c r="H116">
        <f>IF(E116=0,IF(D116&gt;0,"Revisar",""),IF(ABS(G116)&gt;Parámetros!$B$3,"Revisar",""))</f>
        <v/>
      </c>
      <c r="I116" s="6">
        <f>INDEX(Desempeño!$C$4:$C$12,MATCH(C116,Desempeño!$A$4:$A$12,0))</f>
        <v/>
      </c>
      <c r="J116" s="4">
        <f>MAX(0,D116*(1-I116*Parámetros!$B$8))</f>
        <v/>
      </c>
      <c r="K116" s="4">
        <f>D116*(1+I116*Parámetros!$B$8)</f>
        <v/>
      </c>
      <c r="L116">
        <f>INDEX(Desempeño!$H$4:$H$12,MATCH(C116,Desempeño!$A$4:$A$12,0))</f>
        <v/>
      </c>
      <c r="M116">
        <f>INDEX(Desempeño!$G$4:$G$12,MATCH(C116,Desempeño!$A$4:$A$12,0))</f>
        <v/>
      </c>
      <c r="N116" s="7">
        <f>INDEX(Parámetros!$B$13:$B$21,MATCH(C116,Parámetros!$A$13:$A$21,0))</f>
        <v/>
      </c>
      <c r="O116" s="4">
        <f>D116*N116</f>
        <v/>
      </c>
    </row>
    <row r="117">
      <c r="A117" t="inlineStr">
        <is>
          <t>Octubre 2026</t>
        </is>
      </c>
      <c r="B117" t="inlineStr">
        <is>
          <t>Lago Agrio</t>
        </is>
      </c>
      <c r="C117" t="inlineStr">
        <is>
          <t>Rocher</t>
        </is>
      </c>
      <c r="D117" s="4" t="n">
        <v>1410.9</v>
      </c>
      <c r="E117" s="4" t="n">
        <v>1527</v>
      </c>
      <c r="F117" s="4" t="n">
        <v>1083</v>
      </c>
      <c r="G117" s="5">
        <f>IF(E117=0,"",D117/E117-1)</f>
        <v/>
      </c>
      <c r="H117">
        <f>IF(E117=0,IF(D117&gt;0,"Revisar",""),IF(ABS(G117)&gt;Parámetros!$B$3,"Revisar",""))</f>
        <v/>
      </c>
      <c r="I117" s="6">
        <f>INDEX(Desempeño!$C$4:$C$12,MATCH(C117,Desempeño!$A$4:$A$12,0))</f>
        <v/>
      </c>
      <c r="J117" s="4">
        <f>MAX(0,D117*(1-I117*Parámetros!$B$8))</f>
        <v/>
      </c>
      <c r="K117" s="4">
        <f>D117*(1+I117*Parámetros!$B$8)</f>
        <v/>
      </c>
      <c r="L117">
        <f>INDEX(Desempeño!$H$4:$H$12,MATCH(C117,Desempeño!$A$4:$A$12,0))</f>
        <v/>
      </c>
      <c r="M117">
        <f>INDEX(Desempeño!$G$4:$G$12,MATCH(C117,Desempeño!$A$4:$A$12,0))</f>
        <v/>
      </c>
      <c r="N117" s="7">
        <f>INDEX(Parámetros!$B$13:$B$21,MATCH(C117,Parámetros!$A$13:$A$21,0))</f>
        <v/>
      </c>
      <c r="O117" s="4">
        <f>D117*N117</f>
        <v/>
      </c>
    </row>
    <row r="118">
      <c r="A118" t="inlineStr">
        <is>
          <t>Octubre 2026</t>
        </is>
      </c>
      <c r="B118" t="inlineStr">
        <is>
          <t>Lago Agrio</t>
        </is>
      </c>
      <c r="C118" t="inlineStr">
        <is>
          <t>Tic Tac</t>
        </is>
      </c>
      <c r="D118" s="4" t="n">
        <v>418.3</v>
      </c>
      <c r="E118" s="4" t="n">
        <v>374</v>
      </c>
      <c r="F118" s="4" t="n">
        <v>365.3</v>
      </c>
      <c r="G118" s="5">
        <f>IF(E118=0,"",D118/E118-1)</f>
        <v/>
      </c>
      <c r="H118">
        <f>IF(E118=0,IF(D118&gt;0,"Revisar",""),IF(ABS(G118)&gt;Parámetros!$B$3,"Revisar",""))</f>
        <v/>
      </c>
      <c r="I118" s="6">
        <f>INDEX(Desempeño!$C$4:$C$12,MATCH(C118,Desempeño!$A$4:$A$12,0))</f>
        <v/>
      </c>
      <c r="J118" s="4">
        <f>MAX(0,D118*(1-I118*Parámetros!$B$8))</f>
        <v/>
      </c>
      <c r="K118" s="4">
        <f>D118*(1+I118*Parámetros!$B$8)</f>
        <v/>
      </c>
      <c r="L118">
        <f>INDEX(Desempeño!$H$4:$H$12,MATCH(C118,Desempeño!$A$4:$A$12,0))</f>
        <v/>
      </c>
      <c r="M118">
        <f>INDEX(Desempeño!$G$4:$G$12,MATCH(C118,Desempeño!$A$4:$A$12,0))</f>
        <v/>
      </c>
      <c r="N118" s="7">
        <f>INDEX(Parámetros!$B$13:$B$21,MATCH(C118,Parámetros!$A$13:$A$21,0))</f>
        <v/>
      </c>
      <c r="O118" s="4">
        <f>D118*N118</f>
        <v/>
      </c>
    </row>
    <row r="119">
      <c r="A119" t="inlineStr">
        <is>
          <t>Octubre 2026</t>
        </is>
      </c>
      <c r="B119" t="inlineStr">
        <is>
          <t>Manta</t>
        </is>
      </c>
      <c r="C119" t="inlineStr">
        <is>
          <t>Hanuta</t>
        </is>
      </c>
      <c r="D119" s="4" t="n">
        <v>368.3</v>
      </c>
      <c r="E119" s="4" t="n">
        <v>453</v>
      </c>
      <c r="F119" s="4" t="n">
        <v>296.7</v>
      </c>
      <c r="G119" s="5">
        <f>IF(E119=0,"",D119/E119-1)</f>
        <v/>
      </c>
      <c r="H119">
        <f>IF(E119=0,IF(D119&gt;0,"Revisar",""),IF(ABS(G119)&gt;Parámetros!$B$3,"Revisar",""))</f>
        <v/>
      </c>
      <c r="I119" s="6">
        <f>INDEX(Desempeño!$C$4:$C$12,MATCH(C119,Desempeño!$A$4:$A$12,0))</f>
        <v/>
      </c>
      <c r="J119" s="4">
        <f>MAX(0,D119*(1-I119*Parámetros!$B$8))</f>
        <v/>
      </c>
      <c r="K119" s="4">
        <f>D119*(1+I119*Parámetros!$B$8)</f>
        <v/>
      </c>
      <c r="L119">
        <f>INDEX(Desempeño!$H$4:$H$12,MATCH(C119,Desempeño!$A$4:$A$12,0))</f>
        <v/>
      </c>
      <c r="M119">
        <f>INDEX(Desempeño!$G$4:$G$12,MATCH(C119,Desempeño!$A$4:$A$12,0))</f>
        <v/>
      </c>
      <c r="N119" s="7">
        <f>INDEX(Parámetros!$B$13:$B$21,MATCH(C119,Parámetros!$A$13:$A$21,0))</f>
        <v/>
      </c>
      <c r="O119" s="4">
        <f>D119*N119</f>
        <v/>
      </c>
    </row>
    <row r="120">
      <c r="A120" t="inlineStr">
        <is>
          <t>Octubre 2026</t>
        </is>
      </c>
      <c r="B120" t="inlineStr">
        <is>
          <t>Manta</t>
        </is>
      </c>
      <c r="C120" t="inlineStr">
        <is>
          <t>Kinder Bueno</t>
        </is>
      </c>
      <c r="D120" s="4" t="n">
        <v>290.6</v>
      </c>
      <c r="E120" s="4" t="n">
        <v>174</v>
      </c>
      <c r="F120" s="4" t="n">
        <v>280</v>
      </c>
      <c r="G120" s="5">
        <f>IF(E120=0,"",D120/E120-1)</f>
        <v/>
      </c>
      <c r="H120">
        <f>IF(E120=0,IF(D120&gt;0,"Revisar",""),IF(ABS(G120)&gt;Parámetros!$B$3,"Revisar",""))</f>
        <v/>
      </c>
      <c r="I120" s="6">
        <f>INDEX(Desempeño!$C$4:$C$12,MATCH(C120,Desempeño!$A$4:$A$12,0))</f>
        <v/>
      </c>
      <c r="J120" s="4">
        <f>MAX(0,D120*(1-I120*Parámetros!$B$8))</f>
        <v/>
      </c>
      <c r="K120" s="4">
        <f>D120*(1+I120*Parámetros!$B$8)</f>
        <v/>
      </c>
      <c r="L120">
        <f>INDEX(Desempeño!$H$4:$H$12,MATCH(C120,Desempeño!$A$4:$A$12,0))</f>
        <v/>
      </c>
      <c r="M120">
        <f>INDEX(Desempeño!$G$4:$G$12,MATCH(C120,Desempeño!$A$4:$A$12,0))</f>
        <v/>
      </c>
      <c r="N120" s="7">
        <f>INDEX(Parámetros!$B$13:$B$21,MATCH(C120,Parámetros!$A$13:$A$21,0))</f>
        <v/>
      </c>
      <c r="O120" s="4">
        <f>D120*N120</f>
        <v/>
      </c>
    </row>
    <row r="121">
      <c r="A121" t="inlineStr">
        <is>
          <t>Octubre 2026</t>
        </is>
      </c>
      <c r="B121" t="inlineStr">
        <is>
          <t>Manta</t>
        </is>
      </c>
      <c r="C121" t="inlineStr">
        <is>
          <t>Kinder Chocolate</t>
        </is>
      </c>
      <c r="D121" s="4" t="n">
        <v>56</v>
      </c>
      <c r="E121" s="4" t="n">
        <v>61</v>
      </c>
      <c r="F121" s="4" t="n">
        <v>26.7</v>
      </c>
      <c r="G121" s="5">
        <f>IF(E121=0,"",D121/E121-1)</f>
        <v/>
      </c>
      <c r="H121">
        <f>IF(E121=0,IF(D121&gt;0,"Revisar",""),IF(ABS(G121)&gt;Parámetros!$B$3,"Revisar",""))</f>
        <v/>
      </c>
      <c r="I121" s="6">
        <f>INDEX(Desempeño!$C$4:$C$12,MATCH(C121,Desempeño!$A$4:$A$12,0))</f>
        <v/>
      </c>
      <c r="J121" s="4">
        <f>MAX(0,D121*(1-I121*Parámetros!$B$8))</f>
        <v/>
      </c>
      <c r="K121" s="4">
        <f>D121*(1+I121*Parámetros!$B$8)</f>
        <v/>
      </c>
      <c r="L121">
        <f>INDEX(Desempeño!$H$4:$H$12,MATCH(C121,Desempeño!$A$4:$A$12,0))</f>
        <v/>
      </c>
      <c r="M121">
        <f>INDEX(Desempeño!$G$4:$G$12,MATCH(C121,Desempeño!$A$4:$A$12,0))</f>
        <v/>
      </c>
      <c r="N121" s="7">
        <f>INDEX(Parámetros!$B$13:$B$21,MATCH(C121,Parámetros!$A$13:$A$21,0))</f>
        <v/>
      </c>
      <c r="O121" s="4">
        <f>D121*N121</f>
        <v/>
      </c>
    </row>
    <row r="122">
      <c r="A122" t="inlineStr">
        <is>
          <t>Octubre 2026</t>
        </is>
      </c>
      <c r="B122" t="inlineStr">
        <is>
          <t>Manta</t>
        </is>
      </c>
      <c r="C122" t="inlineStr">
        <is>
          <t>Kinder Joy</t>
        </is>
      </c>
      <c r="D122" s="4" t="n">
        <v>1414.7</v>
      </c>
      <c r="E122" s="4" t="n">
        <v>1949</v>
      </c>
      <c r="F122" s="4" t="n">
        <v>1361.3</v>
      </c>
      <c r="G122" s="5">
        <f>IF(E122=0,"",D122/E122-1)</f>
        <v/>
      </c>
      <c r="H122">
        <f>IF(E122=0,IF(D122&gt;0,"Revisar",""),IF(ABS(G122)&gt;Parámetros!$B$3,"Revisar",""))</f>
        <v/>
      </c>
      <c r="I122" s="6">
        <f>INDEX(Desempeño!$C$4:$C$12,MATCH(C122,Desempeño!$A$4:$A$12,0))</f>
        <v/>
      </c>
      <c r="J122" s="4">
        <f>MAX(0,D122*(1-I122*Parámetros!$B$8))</f>
        <v/>
      </c>
      <c r="K122" s="4">
        <f>D122*(1+I122*Parámetros!$B$8)</f>
        <v/>
      </c>
      <c r="L122">
        <f>INDEX(Desempeño!$H$4:$H$12,MATCH(C122,Desempeño!$A$4:$A$12,0))</f>
        <v/>
      </c>
      <c r="M122">
        <f>INDEX(Desempeño!$G$4:$G$12,MATCH(C122,Desempeño!$A$4:$A$12,0))</f>
        <v/>
      </c>
      <c r="N122" s="7">
        <f>INDEX(Parámetros!$B$13:$B$21,MATCH(C122,Parámetros!$A$13:$A$21,0))</f>
        <v/>
      </c>
      <c r="O122" s="4">
        <f>D122*N122</f>
        <v/>
      </c>
    </row>
    <row r="123">
      <c r="A123" t="inlineStr">
        <is>
          <t>Octubre 2026</t>
        </is>
      </c>
      <c r="B123" t="inlineStr">
        <is>
          <t>Manta</t>
        </is>
      </c>
      <c r="C123" t="inlineStr">
        <is>
          <t>Noggy</t>
        </is>
      </c>
      <c r="D123" s="4" t="n">
        <v>595.5</v>
      </c>
      <c r="E123" s="4" t="n">
        <v>730</v>
      </c>
      <c r="F123" s="4" t="n">
        <v>496</v>
      </c>
      <c r="G123" s="5">
        <f>IF(E123=0,"",D123/E123-1)</f>
        <v/>
      </c>
      <c r="H123">
        <f>IF(E123=0,IF(D123&gt;0,"Revisar",""),IF(ABS(G123)&gt;Parámetros!$B$3,"Revisar",""))</f>
        <v/>
      </c>
      <c r="I123" s="6">
        <f>INDEX(Desempeño!$C$4:$C$12,MATCH(C123,Desempeño!$A$4:$A$12,0))</f>
        <v/>
      </c>
      <c r="J123" s="4">
        <f>MAX(0,D123*(1-I123*Parámetros!$B$8))</f>
        <v/>
      </c>
      <c r="K123" s="4">
        <f>D123*(1+I123*Parámetros!$B$8)</f>
        <v/>
      </c>
      <c r="L123">
        <f>INDEX(Desempeño!$H$4:$H$12,MATCH(C123,Desempeño!$A$4:$A$12,0))</f>
        <v/>
      </c>
      <c r="M123">
        <f>INDEX(Desempeño!$G$4:$G$12,MATCH(C123,Desempeño!$A$4:$A$12,0))</f>
        <v/>
      </c>
      <c r="N123" s="7">
        <f>INDEX(Parámetros!$B$13:$B$21,MATCH(C123,Parámetros!$A$13:$A$21,0))</f>
        <v/>
      </c>
      <c r="O123" s="4">
        <f>D123*N123</f>
        <v/>
      </c>
    </row>
    <row r="124">
      <c r="A124" t="inlineStr">
        <is>
          <t>Octubre 2026</t>
        </is>
      </c>
      <c r="B124" t="inlineStr">
        <is>
          <t>Manta</t>
        </is>
      </c>
      <c r="C124" t="inlineStr">
        <is>
          <t>Nutella</t>
        </is>
      </c>
      <c r="D124" s="4" t="n">
        <v>1433.9</v>
      </c>
      <c r="E124" s="4" t="n">
        <v>1278</v>
      </c>
      <c r="F124" s="4" t="n">
        <v>1453.7</v>
      </c>
      <c r="G124" s="5">
        <f>IF(E124=0,"",D124/E124-1)</f>
        <v/>
      </c>
      <c r="H124">
        <f>IF(E124=0,IF(D124&gt;0,"Revisar",""),IF(ABS(G124)&gt;Parámetros!$B$3,"Revisar",""))</f>
        <v/>
      </c>
      <c r="I124" s="6">
        <f>INDEX(Desempeño!$C$4:$C$12,MATCH(C124,Desempeño!$A$4:$A$12,0))</f>
        <v/>
      </c>
      <c r="J124" s="4">
        <f>MAX(0,D124*(1-I124*Parámetros!$B$8))</f>
        <v/>
      </c>
      <c r="K124" s="4">
        <f>D124*(1+I124*Parámetros!$B$8)</f>
        <v/>
      </c>
      <c r="L124">
        <f>INDEX(Desempeño!$H$4:$H$12,MATCH(C124,Desempeño!$A$4:$A$12,0))</f>
        <v/>
      </c>
      <c r="M124">
        <f>INDEX(Desempeño!$G$4:$G$12,MATCH(C124,Desempeño!$A$4:$A$12,0))</f>
        <v/>
      </c>
      <c r="N124" s="7">
        <f>INDEX(Parámetros!$B$13:$B$21,MATCH(C124,Parámetros!$A$13:$A$21,0))</f>
        <v/>
      </c>
      <c r="O124" s="4">
        <f>D124*N124</f>
        <v/>
      </c>
    </row>
    <row r="125">
      <c r="A125" t="inlineStr">
        <is>
          <t>Octubre 2026</t>
        </is>
      </c>
      <c r="B125" t="inlineStr">
        <is>
          <t>Manta</t>
        </is>
      </c>
      <c r="C125" t="inlineStr">
        <is>
          <t>Raffaello</t>
        </is>
      </c>
      <c r="D125" s="4" t="n">
        <v>320.1</v>
      </c>
      <c r="E125" s="4" t="n">
        <v>504</v>
      </c>
      <c r="F125" s="4" t="n">
        <v>217.7</v>
      </c>
      <c r="G125" s="5">
        <f>IF(E125=0,"",D125/E125-1)</f>
        <v/>
      </c>
      <c r="H125">
        <f>IF(E125=0,IF(D125&gt;0,"Revisar",""),IF(ABS(G125)&gt;Parámetros!$B$3,"Revisar",""))</f>
        <v/>
      </c>
      <c r="I125" s="6">
        <f>INDEX(Desempeño!$C$4:$C$12,MATCH(C125,Desempeño!$A$4:$A$12,0))</f>
        <v/>
      </c>
      <c r="J125" s="4">
        <f>MAX(0,D125*(1-I125*Parámetros!$B$8))</f>
        <v/>
      </c>
      <c r="K125" s="4">
        <f>D125*(1+I125*Parámetros!$B$8)</f>
        <v/>
      </c>
      <c r="L125">
        <f>INDEX(Desempeño!$H$4:$H$12,MATCH(C125,Desempeño!$A$4:$A$12,0))</f>
        <v/>
      </c>
      <c r="M125">
        <f>INDEX(Desempeño!$G$4:$G$12,MATCH(C125,Desempeño!$A$4:$A$12,0))</f>
        <v/>
      </c>
      <c r="N125" s="7">
        <f>INDEX(Parámetros!$B$13:$B$21,MATCH(C125,Parámetros!$A$13:$A$21,0))</f>
        <v/>
      </c>
      <c r="O125" s="4">
        <f>D125*N125</f>
        <v/>
      </c>
    </row>
    <row r="126">
      <c r="A126" t="inlineStr">
        <is>
          <t>Octubre 2026</t>
        </is>
      </c>
      <c r="B126" t="inlineStr">
        <is>
          <t>Manta</t>
        </is>
      </c>
      <c r="C126" t="inlineStr">
        <is>
          <t>Rocher</t>
        </is>
      </c>
      <c r="D126" s="4" t="n">
        <v>1816.7</v>
      </c>
      <c r="E126" s="4" t="n">
        <v>2150</v>
      </c>
      <c r="F126" s="4" t="n">
        <v>1222.7</v>
      </c>
      <c r="G126" s="5">
        <f>IF(E126=0,"",D126/E126-1)</f>
        <v/>
      </c>
      <c r="H126">
        <f>IF(E126=0,IF(D126&gt;0,"Revisar",""),IF(ABS(G126)&gt;Parámetros!$B$3,"Revisar",""))</f>
        <v/>
      </c>
      <c r="I126" s="6">
        <f>INDEX(Desempeño!$C$4:$C$12,MATCH(C126,Desempeño!$A$4:$A$12,0))</f>
        <v/>
      </c>
      <c r="J126" s="4">
        <f>MAX(0,D126*(1-I126*Parámetros!$B$8))</f>
        <v/>
      </c>
      <c r="K126" s="4">
        <f>D126*(1+I126*Parámetros!$B$8)</f>
        <v/>
      </c>
      <c r="L126">
        <f>INDEX(Desempeño!$H$4:$H$12,MATCH(C126,Desempeño!$A$4:$A$12,0))</f>
        <v/>
      </c>
      <c r="M126">
        <f>INDEX(Desempeño!$G$4:$G$12,MATCH(C126,Desempeño!$A$4:$A$12,0))</f>
        <v/>
      </c>
      <c r="N126" s="7">
        <f>INDEX(Parámetros!$B$13:$B$21,MATCH(C126,Parámetros!$A$13:$A$21,0))</f>
        <v/>
      </c>
      <c r="O126" s="4">
        <f>D126*N126</f>
        <v/>
      </c>
    </row>
    <row r="127">
      <c r="A127" t="inlineStr">
        <is>
          <t>Octubre 2026</t>
        </is>
      </c>
      <c r="B127" t="inlineStr">
        <is>
          <t>Manta</t>
        </is>
      </c>
      <c r="C127" t="inlineStr">
        <is>
          <t>Tic Tac</t>
        </is>
      </c>
      <c r="D127" s="4" t="n">
        <v>778.5</v>
      </c>
      <c r="E127" s="4" t="n">
        <v>862</v>
      </c>
      <c r="F127" s="4" t="n">
        <v>749.7</v>
      </c>
      <c r="G127" s="5">
        <f>IF(E127=0,"",D127/E127-1)</f>
        <v/>
      </c>
      <c r="H127">
        <f>IF(E127=0,IF(D127&gt;0,"Revisar",""),IF(ABS(G127)&gt;Parámetros!$B$3,"Revisar",""))</f>
        <v/>
      </c>
      <c r="I127" s="6">
        <f>INDEX(Desempeño!$C$4:$C$12,MATCH(C127,Desempeño!$A$4:$A$12,0))</f>
        <v/>
      </c>
      <c r="J127" s="4">
        <f>MAX(0,D127*(1-I127*Parámetros!$B$8))</f>
        <v/>
      </c>
      <c r="K127" s="4">
        <f>D127*(1+I127*Parámetros!$B$8)</f>
        <v/>
      </c>
      <c r="L127">
        <f>INDEX(Desempeño!$H$4:$H$12,MATCH(C127,Desempeño!$A$4:$A$12,0))</f>
        <v/>
      </c>
      <c r="M127">
        <f>INDEX(Desempeño!$G$4:$G$12,MATCH(C127,Desempeño!$A$4:$A$12,0))</f>
        <v/>
      </c>
      <c r="N127" s="7">
        <f>INDEX(Parámetros!$B$13:$B$21,MATCH(C127,Parámetros!$A$13:$A$21,0))</f>
        <v/>
      </c>
      <c r="O127" s="4">
        <f>D127*N127</f>
        <v/>
      </c>
    </row>
    <row r="128">
      <c r="A128" t="inlineStr">
        <is>
          <t>Octubre 2026</t>
        </is>
      </c>
      <c r="B128" t="inlineStr">
        <is>
          <t>Quito</t>
        </is>
      </c>
      <c r="C128" t="inlineStr">
        <is>
          <t>Hanuta</t>
        </is>
      </c>
      <c r="D128" s="4" t="n">
        <v>6785.7</v>
      </c>
      <c r="E128" s="4" t="n">
        <v>9831.416666666666</v>
      </c>
      <c r="F128" s="4" t="n">
        <v>6776</v>
      </c>
      <c r="G128" s="5">
        <f>IF(E128=0,"",D128/E128-1)</f>
        <v/>
      </c>
      <c r="H128">
        <f>IF(E128=0,IF(D128&gt;0,"Revisar",""),IF(ABS(G128)&gt;Parámetros!$B$3,"Revisar",""))</f>
        <v/>
      </c>
      <c r="I128" s="6">
        <f>INDEX(Desempeño!$C$4:$C$12,MATCH(C128,Desempeño!$A$4:$A$12,0))</f>
        <v/>
      </c>
      <c r="J128" s="4">
        <f>MAX(0,D128*(1-I128*Parámetros!$B$8))</f>
        <v/>
      </c>
      <c r="K128" s="4">
        <f>D128*(1+I128*Parámetros!$B$8)</f>
        <v/>
      </c>
      <c r="L128">
        <f>INDEX(Desempeño!$H$4:$H$12,MATCH(C128,Desempeño!$A$4:$A$12,0))</f>
        <v/>
      </c>
      <c r="M128">
        <f>INDEX(Desempeño!$G$4:$G$12,MATCH(C128,Desempeño!$A$4:$A$12,0))</f>
        <v/>
      </c>
      <c r="N128" s="7">
        <f>INDEX(Parámetros!$B$13:$B$21,MATCH(C128,Parámetros!$A$13:$A$21,0))</f>
        <v/>
      </c>
      <c r="O128" s="4">
        <f>D128*N128</f>
        <v/>
      </c>
    </row>
    <row r="129">
      <c r="A129" t="inlineStr">
        <is>
          <t>Octubre 2026</t>
        </is>
      </c>
      <c r="B129" t="inlineStr">
        <is>
          <t>Quito</t>
        </is>
      </c>
      <c r="C129" t="inlineStr">
        <is>
          <t>Kinder Bueno</t>
        </is>
      </c>
      <c r="D129" s="4" t="n">
        <v>7017.3</v>
      </c>
      <c r="E129" s="4" t="n">
        <v>5953.666666666667</v>
      </c>
      <c r="F129" s="4" t="n">
        <v>6589.8</v>
      </c>
      <c r="G129" s="5">
        <f>IF(E129=0,"",D129/E129-1)</f>
        <v/>
      </c>
      <c r="H129">
        <f>IF(E129=0,IF(D129&gt;0,"Revisar",""),IF(ABS(G129)&gt;Parámetros!$B$3,"Revisar",""))</f>
        <v/>
      </c>
      <c r="I129" s="6">
        <f>INDEX(Desempeño!$C$4:$C$12,MATCH(C129,Desempeño!$A$4:$A$12,0))</f>
        <v/>
      </c>
      <c r="J129" s="4">
        <f>MAX(0,D129*(1-I129*Parámetros!$B$8))</f>
        <v/>
      </c>
      <c r="K129" s="4">
        <f>D129*(1+I129*Parámetros!$B$8)</f>
        <v/>
      </c>
      <c r="L129">
        <f>INDEX(Desempeño!$H$4:$H$12,MATCH(C129,Desempeño!$A$4:$A$12,0))</f>
        <v/>
      </c>
      <c r="M129">
        <f>INDEX(Desempeño!$G$4:$G$12,MATCH(C129,Desempeño!$A$4:$A$12,0))</f>
        <v/>
      </c>
      <c r="N129" s="7">
        <f>INDEX(Parámetros!$B$13:$B$21,MATCH(C129,Parámetros!$A$13:$A$21,0))</f>
        <v/>
      </c>
      <c r="O129" s="4">
        <f>D129*N129</f>
        <v/>
      </c>
    </row>
    <row r="130">
      <c r="A130" t="inlineStr">
        <is>
          <t>Octubre 2026</t>
        </is>
      </c>
      <c r="B130" t="inlineStr">
        <is>
          <t>Quito</t>
        </is>
      </c>
      <c r="C130" t="inlineStr">
        <is>
          <t>Kinder Chocolate</t>
        </is>
      </c>
      <c r="D130" s="4" t="n">
        <v>2954</v>
      </c>
      <c r="E130" s="4" t="n">
        <v>2545.75</v>
      </c>
      <c r="F130" s="4" t="n">
        <v>3043.3</v>
      </c>
      <c r="G130" s="5">
        <f>IF(E130=0,"",D130/E130-1)</f>
        <v/>
      </c>
      <c r="H130">
        <f>IF(E130=0,IF(D130&gt;0,"Revisar",""),IF(ABS(G130)&gt;Parámetros!$B$3,"Revisar",""))</f>
        <v/>
      </c>
      <c r="I130" s="6">
        <f>INDEX(Desempeño!$C$4:$C$12,MATCH(C130,Desempeño!$A$4:$A$12,0))</f>
        <v/>
      </c>
      <c r="J130" s="4">
        <f>MAX(0,D130*(1-I130*Parámetros!$B$8))</f>
        <v/>
      </c>
      <c r="K130" s="4">
        <f>D130*(1+I130*Parámetros!$B$8)</f>
        <v/>
      </c>
      <c r="L130">
        <f>INDEX(Desempeño!$H$4:$H$12,MATCH(C130,Desempeño!$A$4:$A$12,0))</f>
        <v/>
      </c>
      <c r="M130">
        <f>INDEX(Desempeño!$G$4:$G$12,MATCH(C130,Desempeño!$A$4:$A$12,0))</f>
        <v/>
      </c>
      <c r="N130" s="7">
        <f>INDEX(Parámetros!$B$13:$B$21,MATCH(C130,Parámetros!$A$13:$A$21,0))</f>
        <v/>
      </c>
      <c r="O130" s="4">
        <f>D130*N130</f>
        <v/>
      </c>
    </row>
    <row r="131">
      <c r="A131" t="inlineStr">
        <is>
          <t>Octubre 2026</t>
        </is>
      </c>
      <c r="B131" t="inlineStr">
        <is>
          <t>Quito</t>
        </is>
      </c>
      <c r="C131" t="inlineStr">
        <is>
          <t>Kinder Joy</t>
        </is>
      </c>
      <c r="D131" s="4" t="n">
        <v>11643.1</v>
      </c>
      <c r="E131" s="4" t="n">
        <v>10183.25</v>
      </c>
      <c r="F131" s="4" t="n">
        <v>12476.6</v>
      </c>
      <c r="G131" s="5">
        <f>IF(E131=0,"",D131/E131-1)</f>
        <v/>
      </c>
      <c r="H131">
        <f>IF(E131=0,IF(D131&gt;0,"Revisar",""),IF(ABS(G131)&gt;Parámetros!$B$3,"Revisar",""))</f>
        <v/>
      </c>
      <c r="I131" s="6">
        <f>INDEX(Desempeño!$C$4:$C$12,MATCH(C131,Desempeño!$A$4:$A$12,0))</f>
        <v/>
      </c>
      <c r="J131" s="4">
        <f>MAX(0,D131*(1-I131*Parámetros!$B$8))</f>
        <v/>
      </c>
      <c r="K131" s="4">
        <f>D131*(1+I131*Parámetros!$B$8)</f>
        <v/>
      </c>
      <c r="L131">
        <f>INDEX(Desempeño!$H$4:$H$12,MATCH(C131,Desempeño!$A$4:$A$12,0))</f>
        <v/>
      </c>
      <c r="M131">
        <f>INDEX(Desempeño!$G$4:$G$12,MATCH(C131,Desempeño!$A$4:$A$12,0))</f>
        <v/>
      </c>
      <c r="N131" s="7">
        <f>INDEX(Parámetros!$B$13:$B$21,MATCH(C131,Parámetros!$A$13:$A$21,0))</f>
        <v/>
      </c>
      <c r="O131" s="4">
        <f>D131*N131</f>
        <v/>
      </c>
    </row>
    <row r="132">
      <c r="A132" t="inlineStr">
        <is>
          <t>Octubre 2026</t>
        </is>
      </c>
      <c r="B132" t="inlineStr">
        <is>
          <t>Quito</t>
        </is>
      </c>
      <c r="C132" t="inlineStr">
        <is>
          <t>Noggy</t>
        </is>
      </c>
      <c r="D132" s="4" t="n">
        <v>8793.1</v>
      </c>
      <c r="E132" s="4" t="n">
        <v>9089</v>
      </c>
      <c r="F132" s="4" t="n">
        <v>10319.3</v>
      </c>
      <c r="G132" s="5">
        <f>IF(E132=0,"",D132/E132-1)</f>
        <v/>
      </c>
      <c r="H132">
        <f>IF(E132=0,IF(D132&gt;0,"Revisar",""),IF(ABS(G132)&gt;Parámetros!$B$3,"Revisar",""))</f>
        <v/>
      </c>
      <c r="I132" s="6">
        <f>INDEX(Desempeño!$C$4:$C$12,MATCH(C132,Desempeño!$A$4:$A$12,0))</f>
        <v/>
      </c>
      <c r="J132" s="4">
        <f>MAX(0,D132*(1-I132*Parámetros!$B$8))</f>
        <v/>
      </c>
      <c r="K132" s="4">
        <f>D132*(1+I132*Parámetros!$B$8)</f>
        <v/>
      </c>
      <c r="L132">
        <f>INDEX(Desempeño!$H$4:$H$12,MATCH(C132,Desempeño!$A$4:$A$12,0))</f>
        <v/>
      </c>
      <c r="M132">
        <f>INDEX(Desempeño!$G$4:$G$12,MATCH(C132,Desempeño!$A$4:$A$12,0))</f>
        <v/>
      </c>
      <c r="N132" s="7">
        <f>INDEX(Parámetros!$B$13:$B$21,MATCH(C132,Parámetros!$A$13:$A$21,0))</f>
        <v/>
      </c>
      <c r="O132" s="4">
        <f>D132*N132</f>
        <v/>
      </c>
    </row>
    <row r="133">
      <c r="A133" t="inlineStr">
        <is>
          <t>Octubre 2026</t>
        </is>
      </c>
      <c r="B133" t="inlineStr">
        <is>
          <t>Quito</t>
        </is>
      </c>
      <c r="C133" t="inlineStr">
        <is>
          <t>Nutella</t>
        </is>
      </c>
      <c r="D133" s="4" t="n">
        <v>22521.9</v>
      </c>
      <c r="E133" s="4" t="n">
        <v>21117.16666666667</v>
      </c>
      <c r="F133" s="4" t="n">
        <v>22098.6</v>
      </c>
      <c r="G133" s="5">
        <f>IF(E133=0,"",D133/E133-1)</f>
        <v/>
      </c>
      <c r="H133">
        <f>IF(E133=0,IF(D133&gt;0,"Revisar",""),IF(ABS(G133)&gt;Parámetros!$B$3,"Revisar",""))</f>
        <v/>
      </c>
      <c r="I133" s="6">
        <f>INDEX(Desempeño!$C$4:$C$12,MATCH(C133,Desempeño!$A$4:$A$12,0))</f>
        <v/>
      </c>
      <c r="J133" s="4">
        <f>MAX(0,D133*(1-I133*Parámetros!$B$8))</f>
        <v/>
      </c>
      <c r="K133" s="4">
        <f>D133*(1+I133*Parámetros!$B$8)</f>
        <v/>
      </c>
      <c r="L133">
        <f>INDEX(Desempeño!$H$4:$H$12,MATCH(C133,Desempeño!$A$4:$A$12,0))</f>
        <v/>
      </c>
      <c r="M133">
        <f>INDEX(Desempeño!$G$4:$G$12,MATCH(C133,Desempeño!$A$4:$A$12,0))</f>
        <v/>
      </c>
      <c r="N133" s="7">
        <f>INDEX(Parámetros!$B$13:$B$21,MATCH(C133,Parámetros!$A$13:$A$21,0))</f>
        <v/>
      </c>
      <c r="O133" s="4">
        <f>D133*N133</f>
        <v/>
      </c>
    </row>
    <row r="134">
      <c r="A134" t="inlineStr">
        <is>
          <t>Octubre 2026</t>
        </is>
      </c>
      <c r="B134" t="inlineStr">
        <is>
          <t>Quito</t>
        </is>
      </c>
      <c r="C134" t="inlineStr">
        <is>
          <t>Raffaello</t>
        </is>
      </c>
      <c r="D134" s="4" t="n">
        <v>5802.7</v>
      </c>
      <c r="E134" s="4" t="n">
        <v>4360.875</v>
      </c>
      <c r="F134" s="4" t="n">
        <v>5835.7</v>
      </c>
      <c r="G134" s="5">
        <f>IF(E134=0,"",D134/E134-1)</f>
        <v/>
      </c>
      <c r="H134">
        <f>IF(E134=0,IF(D134&gt;0,"Revisar",""),IF(ABS(G134)&gt;Parámetros!$B$3,"Revisar",""))</f>
        <v/>
      </c>
      <c r="I134" s="6">
        <f>INDEX(Desempeño!$C$4:$C$12,MATCH(C134,Desempeño!$A$4:$A$12,0))</f>
        <v/>
      </c>
      <c r="J134" s="4">
        <f>MAX(0,D134*(1-I134*Parámetros!$B$8))</f>
        <v/>
      </c>
      <c r="K134" s="4">
        <f>D134*(1+I134*Parámetros!$B$8)</f>
        <v/>
      </c>
      <c r="L134">
        <f>INDEX(Desempeño!$H$4:$H$12,MATCH(C134,Desempeño!$A$4:$A$12,0))</f>
        <v/>
      </c>
      <c r="M134">
        <f>INDEX(Desempeño!$G$4:$G$12,MATCH(C134,Desempeño!$A$4:$A$12,0))</f>
        <v/>
      </c>
      <c r="N134" s="7">
        <f>INDEX(Parámetros!$B$13:$B$21,MATCH(C134,Parámetros!$A$13:$A$21,0))</f>
        <v/>
      </c>
      <c r="O134" s="4">
        <f>D134*N134</f>
        <v/>
      </c>
    </row>
    <row r="135">
      <c r="A135" t="inlineStr">
        <is>
          <t>Octubre 2026</t>
        </is>
      </c>
      <c r="B135" t="inlineStr">
        <is>
          <t>Quito</t>
        </is>
      </c>
      <c r="C135" t="inlineStr">
        <is>
          <t>Rocher</t>
        </is>
      </c>
      <c r="D135" s="4" t="n">
        <v>21402</v>
      </c>
      <c r="E135" s="4" t="n">
        <v>25153.75</v>
      </c>
      <c r="F135" s="4" t="n">
        <v>14950.9</v>
      </c>
      <c r="G135" s="5">
        <f>IF(E135=0,"",D135/E135-1)</f>
        <v/>
      </c>
      <c r="H135">
        <f>IF(E135=0,IF(D135&gt;0,"Revisar",""),IF(ABS(G135)&gt;Parámetros!$B$3,"Revisar",""))</f>
        <v/>
      </c>
      <c r="I135" s="6">
        <f>INDEX(Desempeño!$C$4:$C$12,MATCH(C135,Desempeño!$A$4:$A$12,0))</f>
        <v/>
      </c>
      <c r="J135" s="4">
        <f>MAX(0,D135*(1-I135*Parámetros!$B$8))</f>
        <v/>
      </c>
      <c r="K135" s="4">
        <f>D135*(1+I135*Parámetros!$B$8)</f>
        <v/>
      </c>
      <c r="L135">
        <f>INDEX(Desempeño!$H$4:$H$12,MATCH(C135,Desempeño!$A$4:$A$12,0))</f>
        <v/>
      </c>
      <c r="M135">
        <f>INDEX(Desempeño!$G$4:$G$12,MATCH(C135,Desempeño!$A$4:$A$12,0))</f>
        <v/>
      </c>
      <c r="N135" s="7">
        <f>INDEX(Parámetros!$B$13:$B$21,MATCH(C135,Parámetros!$A$13:$A$21,0))</f>
        <v/>
      </c>
      <c r="O135" s="4">
        <f>D135*N135</f>
        <v/>
      </c>
    </row>
    <row r="136">
      <c r="A136" t="inlineStr">
        <is>
          <t>Octubre 2026</t>
        </is>
      </c>
      <c r="B136" t="inlineStr">
        <is>
          <t>Quito</t>
        </is>
      </c>
      <c r="C136" t="inlineStr">
        <is>
          <t>Tic Tac</t>
        </is>
      </c>
      <c r="D136" s="4" t="n">
        <v>6538</v>
      </c>
      <c r="E136" s="4" t="n">
        <v>10986.5</v>
      </c>
      <c r="F136" s="4" t="n">
        <v>5865.3</v>
      </c>
      <c r="G136" s="5">
        <f>IF(E136=0,"",D136/E136-1)</f>
        <v/>
      </c>
      <c r="H136">
        <f>IF(E136=0,IF(D136&gt;0,"Revisar",""),IF(ABS(G136)&gt;Parámetros!$B$3,"Revisar",""))</f>
        <v/>
      </c>
      <c r="I136" s="6">
        <f>INDEX(Desempeño!$C$4:$C$12,MATCH(C136,Desempeño!$A$4:$A$12,0))</f>
        <v/>
      </c>
      <c r="J136" s="4">
        <f>MAX(0,D136*(1-I136*Parámetros!$B$8))</f>
        <v/>
      </c>
      <c r="K136" s="4">
        <f>D136*(1+I136*Parámetros!$B$8)</f>
        <v/>
      </c>
      <c r="L136">
        <f>INDEX(Desempeño!$H$4:$H$12,MATCH(C136,Desempeño!$A$4:$A$12,0))</f>
        <v/>
      </c>
      <c r="M136">
        <f>INDEX(Desempeño!$G$4:$G$12,MATCH(C136,Desempeño!$A$4:$A$12,0))</f>
        <v/>
      </c>
      <c r="N136" s="7">
        <f>INDEX(Parámetros!$B$13:$B$21,MATCH(C136,Parámetros!$A$13:$A$21,0))</f>
        <v/>
      </c>
      <c r="O136" s="4">
        <f>D136*N136</f>
        <v/>
      </c>
    </row>
    <row r="137">
      <c r="A137" t="inlineStr">
        <is>
          <t>Octubre 2026</t>
        </is>
      </c>
      <c r="B137" t="inlineStr">
        <is>
          <t>Santo Domingo</t>
        </is>
      </c>
      <c r="C137" t="inlineStr">
        <is>
          <t>Hanuta</t>
        </is>
      </c>
      <c r="D137" s="4" t="n">
        <v>511.5</v>
      </c>
      <c r="E137" s="4" t="n">
        <v>912</v>
      </c>
      <c r="F137" s="4" t="n">
        <v>424.7</v>
      </c>
      <c r="G137" s="5">
        <f>IF(E137=0,"",D137/E137-1)</f>
        <v/>
      </c>
      <c r="H137">
        <f>IF(E137=0,IF(D137&gt;0,"Revisar",""),IF(ABS(G137)&gt;Parámetros!$B$3,"Revisar",""))</f>
        <v/>
      </c>
      <c r="I137" s="6">
        <f>INDEX(Desempeño!$C$4:$C$12,MATCH(C137,Desempeño!$A$4:$A$12,0))</f>
        <v/>
      </c>
      <c r="J137" s="4">
        <f>MAX(0,D137*(1-I137*Parámetros!$B$8))</f>
        <v/>
      </c>
      <c r="K137" s="4">
        <f>D137*(1+I137*Parámetros!$B$8)</f>
        <v/>
      </c>
      <c r="L137">
        <f>INDEX(Desempeño!$H$4:$H$12,MATCH(C137,Desempeño!$A$4:$A$12,0))</f>
        <v/>
      </c>
      <c r="M137">
        <f>INDEX(Desempeño!$G$4:$G$12,MATCH(C137,Desempeño!$A$4:$A$12,0))</f>
        <v/>
      </c>
      <c r="N137" s="7">
        <f>INDEX(Parámetros!$B$13:$B$21,MATCH(C137,Parámetros!$A$13:$A$21,0))</f>
        <v/>
      </c>
      <c r="O137" s="4">
        <f>D137*N137</f>
        <v/>
      </c>
    </row>
    <row r="138">
      <c r="A138" t="inlineStr">
        <is>
          <t>Octubre 2026</t>
        </is>
      </c>
      <c r="B138" t="inlineStr">
        <is>
          <t>Santo Domingo</t>
        </is>
      </c>
      <c r="C138" t="inlineStr">
        <is>
          <t>Kinder Bueno</t>
        </is>
      </c>
      <c r="D138" s="4" t="n">
        <v>305</v>
      </c>
      <c r="E138" s="4" t="n">
        <v>359</v>
      </c>
      <c r="F138" s="4" t="n">
        <v>269</v>
      </c>
      <c r="G138" s="5">
        <f>IF(E138=0,"",D138/E138-1)</f>
        <v/>
      </c>
      <c r="H138">
        <f>IF(E138=0,IF(D138&gt;0,"Revisar",""),IF(ABS(G138)&gt;Parámetros!$B$3,"Revisar",""))</f>
        <v/>
      </c>
      <c r="I138" s="6">
        <f>INDEX(Desempeño!$C$4:$C$12,MATCH(C138,Desempeño!$A$4:$A$12,0))</f>
        <v/>
      </c>
      <c r="J138" s="4">
        <f>MAX(0,D138*(1-I138*Parámetros!$B$8))</f>
        <v/>
      </c>
      <c r="K138" s="4">
        <f>D138*(1+I138*Parámetros!$B$8)</f>
        <v/>
      </c>
      <c r="L138">
        <f>INDEX(Desempeño!$H$4:$H$12,MATCH(C138,Desempeño!$A$4:$A$12,0))</f>
        <v/>
      </c>
      <c r="M138">
        <f>INDEX(Desempeño!$G$4:$G$12,MATCH(C138,Desempeño!$A$4:$A$12,0))</f>
        <v/>
      </c>
      <c r="N138" s="7">
        <f>INDEX(Parámetros!$B$13:$B$21,MATCH(C138,Parámetros!$A$13:$A$21,0))</f>
        <v/>
      </c>
      <c r="O138" s="4">
        <f>D138*N138</f>
        <v/>
      </c>
    </row>
    <row r="139">
      <c r="A139" t="inlineStr">
        <is>
          <t>Octubre 2026</t>
        </is>
      </c>
      <c r="B139" t="inlineStr">
        <is>
          <t>Santo Domingo</t>
        </is>
      </c>
      <c r="C139" t="inlineStr">
        <is>
          <t>Kinder Chocolate</t>
        </is>
      </c>
      <c r="D139" s="4" t="n">
        <v>93.8</v>
      </c>
      <c r="E139" s="4" t="n">
        <v>139</v>
      </c>
      <c r="F139" s="4" t="n">
        <v>82.3</v>
      </c>
      <c r="G139" s="5">
        <f>IF(E139=0,"",D139/E139-1)</f>
        <v/>
      </c>
      <c r="H139">
        <f>IF(E139=0,IF(D139&gt;0,"Revisar",""),IF(ABS(G139)&gt;Parámetros!$B$3,"Revisar",""))</f>
        <v/>
      </c>
      <c r="I139" s="6">
        <f>INDEX(Desempeño!$C$4:$C$12,MATCH(C139,Desempeño!$A$4:$A$12,0))</f>
        <v/>
      </c>
      <c r="J139" s="4">
        <f>MAX(0,D139*(1-I139*Parámetros!$B$8))</f>
        <v/>
      </c>
      <c r="K139" s="4">
        <f>D139*(1+I139*Parámetros!$B$8)</f>
        <v/>
      </c>
      <c r="L139">
        <f>INDEX(Desempeño!$H$4:$H$12,MATCH(C139,Desempeño!$A$4:$A$12,0))</f>
        <v/>
      </c>
      <c r="M139">
        <f>INDEX(Desempeño!$G$4:$G$12,MATCH(C139,Desempeño!$A$4:$A$12,0))</f>
        <v/>
      </c>
      <c r="N139" s="7">
        <f>INDEX(Parámetros!$B$13:$B$21,MATCH(C139,Parámetros!$A$13:$A$21,0))</f>
        <v/>
      </c>
      <c r="O139" s="4">
        <f>D139*N139</f>
        <v/>
      </c>
    </row>
    <row r="140">
      <c r="A140" t="inlineStr">
        <is>
          <t>Octubre 2026</t>
        </is>
      </c>
      <c r="B140" t="inlineStr">
        <is>
          <t>Santo Domingo</t>
        </is>
      </c>
      <c r="C140" t="inlineStr">
        <is>
          <t>Kinder Joy</t>
        </is>
      </c>
      <c r="D140" s="4" t="n">
        <v>2376.2</v>
      </c>
      <c r="E140" s="4" t="n">
        <v>1937</v>
      </c>
      <c r="F140" s="4" t="n">
        <v>2361.3</v>
      </c>
      <c r="G140" s="5">
        <f>IF(E140=0,"",D140/E140-1)</f>
        <v/>
      </c>
      <c r="H140">
        <f>IF(E140=0,IF(D140&gt;0,"Revisar",""),IF(ABS(G140)&gt;Parámetros!$B$3,"Revisar",""))</f>
        <v/>
      </c>
      <c r="I140" s="6">
        <f>INDEX(Desempeño!$C$4:$C$12,MATCH(C140,Desempeño!$A$4:$A$12,0))</f>
        <v/>
      </c>
      <c r="J140" s="4">
        <f>MAX(0,D140*(1-I140*Parámetros!$B$8))</f>
        <v/>
      </c>
      <c r="K140" s="4">
        <f>D140*(1+I140*Parámetros!$B$8)</f>
        <v/>
      </c>
      <c r="L140">
        <f>INDEX(Desempeño!$H$4:$H$12,MATCH(C140,Desempeño!$A$4:$A$12,0))</f>
        <v/>
      </c>
      <c r="M140">
        <f>INDEX(Desempeño!$G$4:$G$12,MATCH(C140,Desempeño!$A$4:$A$12,0))</f>
        <v/>
      </c>
      <c r="N140" s="7">
        <f>INDEX(Parámetros!$B$13:$B$21,MATCH(C140,Parámetros!$A$13:$A$21,0))</f>
        <v/>
      </c>
      <c r="O140" s="4">
        <f>D140*N140</f>
        <v/>
      </c>
    </row>
    <row r="141">
      <c r="A141" t="inlineStr">
        <is>
          <t>Octubre 2026</t>
        </is>
      </c>
      <c r="B141" t="inlineStr">
        <is>
          <t>Santo Domingo</t>
        </is>
      </c>
      <c r="C141" t="inlineStr">
        <is>
          <t>Noggy</t>
        </is>
      </c>
      <c r="D141" s="4" t="n">
        <v>1278.7</v>
      </c>
      <c r="E141" s="4" t="n">
        <v>3039</v>
      </c>
      <c r="F141" s="4" t="n">
        <v>1137</v>
      </c>
      <c r="G141" s="5">
        <f>IF(E141=0,"",D141/E141-1)</f>
        <v/>
      </c>
      <c r="H141">
        <f>IF(E141=0,IF(D141&gt;0,"Revisar",""),IF(ABS(G141)&gt;Parámetros!$B$3,"Revisar",""))</f>
        <v/>
      </c>
      <c r="I141" s="6">
        <f>INDEX(Desempeño!$C$4:$C$12,MATCH(C141,Desempeño!$A$4:$A$12,0))</f>
        <v/>
      </c>
      <c r="J141" s="4">
        <f>MAX(0,D141*(1-I141*Parámetros!$B$8))</f>
        <v/>
      </c>
      <c r="K141" s="4">
        <f>D141*(1+I141*Parámetros!$B$8)</f>
        <v/>
      </c>
      <c r="L141">
        <f>INDEX(Desempeño!$H$4:$H$12,MATCH(C141,Desempeño!$A$4:$A$12,0))</f>
        <v/>
      </c>
      <c r="M141">
        <f>INDEX(Desempeño!$G$4:$G$12,MATCH(C141,Desempeño!$A$4:$A$12,0))</f>
        <v/>
      </c>
      <c r="N141" s="7">
        <f>INDEX(Parámetros!$B$13:$B$21,MATCH(C141,Parámetros!$A$13:$A$21,0))</f>
        <v/>
      </c>
      <c r="O141" s="4">
        <f>D141*N141</f>
        <v/>
      </c>
    </row>
    <row r="142">
      <c r="A142" t="inlineStr">
        <is>
          <t>Octubre 2026</t>
        </is>
      </c>
      <c r="B142" t="inlineStr">
        <is>
          <t>Santo Domingo</t>
        </is>
      </c>
      <c r="C142" t="inlineStr">
        <is>
          <t>Nutella</t>
        </is>
      </c>
      <c r="D142" s="4" t="n">
        <v>2914.9</v>
      </c>
      <c r="E142" s="4" t="n">
        <v>2942</v>
      </c>
      <c r="F142" s="4" t="n">
        <v>3100.7</v>
      </c>
      <c r="G142" s="5">
        <f>IF(E142=0,"",D142/E142-1)</f>
        <v/>
      </c>
      <c r="H142">
        <f>IF(E142=0,IF(D142&gt;0,"Revisar",""),IF(ABS(G142)&gt;Parámetros!$B$3,"Revisar",""))</f>
        <v/>
      </c>
      <c r="I142" s="6">
        <f>INDEX(Desempeño!$C$4:$C$12,MATCH(C142,Desempeño!$A$4:$A$12,0))</f>
        <v/>
      </c>
      <c r="J142" s="4">
        <f>MAX(0,D142*(1-I142*Parámetros!$B$8))</f>
        <v/>
      </c>
      <c r="K142" s="4">
        <f>D142*(1+I142*Parámetros!$B$8)</f>
        <v/>
      </c>
      <c r="L142">
        <f>INDEX(Desempeño!$H$4:$H$12,MATCH(C142,Desempeño!$A$4:$A$12,0))</f>
        <v/>
      </c>
      <c r="M142">
        <f>INDEX(Desempeño!$G$4:$G$12,MATCH(C142,Desempeño!$A$4:$A$12,0))</f>
        <v/>
      </c>
      <c r="N142" s="7">
        <f>INDEX(Parámetros!$B$13:$B$21,MATCH(C142,Parámetros!$A$13:$A$21,0))</f>
        <v/>
      </c>
      <c r="O142" s="4">
        <f>D142*N142</f>
        <v/>
      </c>
    </row>
    <row r="143">
      <c r="A143" t="inlineStr">
        <is>
          <t>Octubre 2026</t>
        </is>
      </c>
      <c r="B143" t="inlineStr">
        <is>
          <t>Santo Domingo</t>
        </is>
      </c>
      <c r="C143" t="inlineStr">
        <is>
          <t>Raffaello</t>
        </is>
      </c>
      <c r="D143" s="4" t="n">
        <v>298.8</v>
      </c>
      <c r="E143" s="4" t="n">
        <v>681</v>
      </c>
      <c r="F143" s="4" t="n">
        <v>176.7</v>
      </c>
      <c r="G143" s="5">
        <f>IF(E143=0,"",D143/E143-1)</f>
        <v/>
      </c>
      <c r="H143">
        <f>IF(E143=0,IF(D143&gt;0,"Revisar",""),IF(ABS(G143)&gt;Parámetros!$B$3,"Revisar",""))</f>
        <v/>
      </c>
      <c r="I143" s="6">
        <f>INDEX(Desempeño!$C$4:$C$12,MATCH(C143,Desempeño!$A$4:$A$12,0))</f>
        <v/>
      </c>
      <c r="J143" s="4">
        <f>MAX(0,D143*(1-I143*Parámetros!$B$8))</f>
        <v/>
      </c>
      <c r="K143" s="4">
        <f>D143*(1+I143*Parámetros!$B$8)</f>
        <v/>
      </c>
      <c r="L143">
        <f>INDEX(Desempeño!$H$4:$H$12,MATCH(C143,Desempeño!$A$4:$A$12,0))</f>
        <v/>
      </c>
      <c r="M143">
        <f>INDEX(Desempeño!$G$4:$G$12,MATCH(C143,Desempeño!$A$4:$A$12,0))</f>
        <v/>
      </c>
      <c r="N143" s="7">
        <f>INDEX(Parámetros!$B$13:$B$21,MATCH(C143,Parámetros!$A$13:$A$21,0))</f>
        <v/>
      </c>
      <c r="O143" s="4">
        <f>D143*N143</f>
        <v/>
      </c>
    </row>
    <row r="144">
      <c r="A144" t="inlineStr">
        <is>
          <t>Octubre 2026</t>
        </is>
      </c>
      <c r="B144" t="inlineStr">
        <is>
          <t>Santo Domingo</t>
        </is>
      </c>
      <c r="C144" t="inlineStr">
        <is>
          <t>Rocher</t>
        </is>
      </c>
      <c r="D144" s="4" t="n">
        <v>3535.1</v>
      </c>
      <c r="E144" s="4" t="n">
        <v>5510</v>
      </c>
      <c r="F144" s="4" t="n">
        <v>2521.3</v>
      </c>
      <c r="G144" s="5">
        <f>IF(E144=0,"",D144/E144-1)</f>
        <v/>
      </c>
      <c r="H144">
        <f>IF(E144=0,IF(D144&gt;0,"Revisar",""),IF(ABS(G144)&gt;Parámetros!$B$3,"Revisar",""))</f>
        <v/>
      </c>
      <c r="I144" s="6">
        <f>INDEX(Desempeño!$C$4:$C$12,MATCH(C144,Desempeño!$A$4:$A$12,0))</f>
        <v/>
      </c>
      <c r="J144" s="4">
        <f>MAX(0,D144*(1-I144*Parámetros!$B$8))</f>
        <v/>
      </c>
      <c r="K144" s="4">
        <f>D144*(1+I144*Parámetros!$B$8)</f>
        <v/>
      </c>
      <c r="L144">
        <f>INDEX(Desempeño!$H$4:$H$12,MATCH(C144,Desempeño!$A$4:$A$12,0))</f>
        <v/>
      </c>
      <c r="M144">
        <f>INDEX(Desempeño!$G$4:$G$12,MATCH(C144,Desempeño!$A$4:$A$12,0))</f>
        <v/>
      </c>
      <c r="N144" s="7">
        <f>INDEX(Parámetros!$B$13:$B$21,MATCH(C144,Parámetros!$A$13:$A$21,0))</f>
        <v/>
      </c>
      <c r="O144" s="4">
        <f>D144*N144</f>
        <v/>
      </c>
    </row>
    <row r="145">
      <c r="A145" t="inlineStr">
        <is>
          <t>Octubre 2026</t>
        </is>
      </c>
      <c r="B145" t="inlineStr">
        <is>
          <t>Santo Domingo</t>
        </is>
      </c>
      <c r="C145" t="inlineStr">
        <is>
          <t>Tic Tac</t>
        </is>
      </c>
      <c r="D145" s="4" t="n">
        <v>976.7</v>
      </c>
      <c r="E145" s="4" t="n">
        <v>1420</v>
      </c>
      <c r="F145" s="4" t="n">
        <v>806.7</v>
      </c>
      <c r="G145" s="5">
        <f>IF(E145=0,"",D145/E145-1)</f>
        <v/>
      </c>
      <c r="H145">
        <f>IF(E145=0,IF(D145&gt;0,"Revisar",""),IF(ABS(G145)&gt;Parámetros!$B$3,"Revisar",""))</f>
        <v/>
      </c>
      <c r="I145" s="6">
        <f>INDEX(Desempeño!$C$4:$C$12,MATCH(C145,Desempeño!$A$4:$A$12,0))</f>
        <v/>
      </c>
      <c r="J145" s="4">
        <f>MAX(0,D145*(1-I145*Parámetros!$B$8))</f>
        <v/>
      </c>
      <c r="K145" s="4">
        <f>D145*(1+I145*Parámetros!$B$8)</f>
        <v/>
      </c>
      <c r="L145">
        <f>INDEX(Desempeño!$H$4:$H$12,MATCH(C145,Desempeño!$A$4:$A$12,0))</f>
        <v/>
      </c>
      <c r="M145">
        <f>INDEX(Desempeño!$G$4:$G$12,MATCH(C145,Desempeño!$A$4:$A$12,0))</f>
        <v/>
      </c>
      <c r="N145" s="7">
        <f>INDEX(Parámetros!$B$13:$B$21,MATCH(C145,Parámetros!$A$13:$A$21,0))</f>
        <v/>
      </c>
      <c r="O145" s="4">
        <f>D145*N145</f>
        <v/>
      </c>
    </row>
    <row r="146">
      <c r="A146" t="inlineStr">
        <is>
          <t>Noviembre 2026</t>
        </is>
      </c>
      <c r="B146" t="inlineStr">
        <is>
          <t>Ambato</t>
        </is>
      </c>
      <c r="C146" t="inlineStr">
        <is>
          <t>Hanuta</t>
        </is>
      </c>
      <c r="D146" s="4" t="n">
        <v>1385.4</v>
      </c>
      <c r="E146" s="4" t="n">
        <v>1778</v>
      </c>
      <c r="F146" s="4" t="n">
        <v>1189.7</v>
      </c>
      <c r="G146" s="5">
        <f>IF(E146=0,"",D146/E146-1)</f>
        <v/>
      </c>
      <c r="H146">
        <f>IF(E146=0,IF(D146&gt;0,"Revisar",""),IF(ABS(G146)&gt;Parámetros!$B$3,"Revisar",""))</f>
        <v/>
      </c>
      <c r="I146" s="6">
        <f>INDEX(Desempeño!$C$4:$C$12,MATCH(C146,Desempeño!$A$4:$A$12,0))</f>
        <v/>
      </c>
      <c r="J146" s="4">
        <f>MAX(0,D146*(1-I146*Parámetros!$B$8))</f>
        <v/>
      </c>
      <c r="K146" s="4">
        <f>D146*(1+I146*Parámetros!$B$8)</f>
        <v/>
      </c>
      <c r="L146">
        <f>INDEX(Desempeño!$H$4:$H$12,MATCH(C146,Desempeño!$A$4:$A$12,0))</f>
        <v/>
      </c>
      <c r="M146">
        <f>INDEX(Desempeño!$G$4:$G$12,MATCH(C146,Desempeño!$A$4:$A$12,0))</f>
        <v/>
      </c>
      <c r="N146" s="7">
        <f>INDEX(Parámetros!$B$13:$B$21,MATCH(C146,Parámetros!$A$13:$A$21,0))</f>
        <v/>
      </c>
      <c r="O146" s="4">
        <f>D146*N146</f>
        <v/>
      </c>
    </row>
    <row r="147">
      <c r="A147" t="inlineStr">
        <is>
          <t>Noviembre 2026</t>
        </is>
      </c>
      <c r="B147" t="inlineStr">
        <is>
          <t>Ambato</t>
        </is>
      </c>
      <c r="C147" t="inlineStr">
        <is>
          <t>Kinder Bueno</t>
        </is>
      </c>
      <c r="D147" s="4" t="n">
        <v>1941.1</v>
      </c>
      <c r="E147" s="4" t="n">
        <v>2090</v>
      </c>
      <c r="F147" s="4" t="n">
        <v>1728.3</v>
      </c>
      <c r="G147" s="5">
        <f>IF(E147=0,"",D147/E147-1)</f>
        <v/>
      </c>
      <c r="H147">
        <f>IF(E147=0,IF(D147&gt;0,"Revisar",""),IF(ABS(G147)&gt;Parámetros!$B$3,"Revisar",""))</f>
        <v/>
      </c>
      <c r="I147" s="6">
        <f>INDEX(Desempeño!$C$4:$C$12,MATCH(C147,Desempeño!$A$4:$A$12,0))</f>
        <v/>
      </c>
      <c r="J147" s="4">
        <f>MAX(0,D147*(1-I147*Parámetros!$B$8))</f>
        <v/>
      </c>
      <c r="K147" s="4">
        <f>D147*(1+I147*Parámetros!$B$8)</f>
        <v/>
      </c>
      <c r="L147">
        <f>INDEX(Desempeño!$H$4:$H$12,MATCH(C147,Desempeño!$A$4:$A$12,0))</f>
        <v/>
      </c>
      <c r="M147">
        <f>INDEX(Desempeño!$G$4:$G$12,MATCH(C147,Desempeño!$A$4:$A$12,0))</f>
        <v/>
      </c>
      <c r="N147" s="7">
        <f>INDEX(Parámetros!$B$13:$B$21,MATCH(C147,Parámetros!$A$13:$A$21,0))</f>
        <v/>
      </c>
      <c r="O147" s="4">
        <f>D147*N147</f>
        <v/>
      </c>
    </row>
    <row r="148">
      <c r="A148" t="inlineStr">
        <is>
          <t>Noviembre 2026</t>
        </is>
      </c>
      <c r="B148" t="inlineStr">
        <is>
          <t>Ambato</t>
        </is>
      </c>
      <c r="C148" t="inlineStr">
        <is>
          <t>Kinder Chocolate</t>
        </is>
      </c>
      <c r="D148" s="4" t="n">
        <v>530.4</v>
      </c>
      <c r="E148" s="4" t="n">
        <v>518</v>
      </c>
      <c r="F148" s="4" t="n">
        <v>484.7</v>
      </c>
      <c r="G148" s="5">
        <f>IF(E148=0,"",D148/E148-1)</f>
        <v/>
      </c>
      <c r="H148">
        <f>IF(E148=0,IF(D148&gt;0,"Revisar",""),IF(ABS(G148)&gt;Parámetros!$B$3,"Revisar",""))</f>
        <v/>
      </c>
      <c r="I148" s="6">
        <f>INDEX(Desempeño!$C$4:$C$12,MATCH(C148,Desempeño!$A$4:$A$12,0))</f>
        <v/>
      </c>
      <c r="J148" s="4">
        <f>MAX(0,D148*(1-I148*Parámetros!$B$8))</f>
        <v/>
      </c>
      <c r="K148" s="4">
        <f>D148*(1+I148*Parámetros!$B$8)</f>
        <v/>
      </c>
      <c r="L148">
        <f>INDEX(Desempeño!$H$4:$H$12,MATCH(C148,Desempeño!$A$4:$A$12,0))</f>
        <v/>
      </c>
      <c r="M148">
        <f>INDEX(Desempeño!$G$4:$G$12,MATCH(C148,Desempeño!$A$4:$A$12,0))</f>
        <v/>
      </c>
      <c r="N148" s="7">
        <f>INDEX(Parámetros!$B$13:$B$21,MATCH(C148,Parámetros!$A$13:$A$21,0))</f>
        <v/>
      </c>
      <c r="O148" s="4">
        <f>D148*N148</f>
        <v/>
      </c>
    </row>
    <row r="149">
      <c r="A149" t="inlineStr">
        <is>
          <t>Noviembre 2026</t>
        </is>
      </c>
      <c r="B149" t="inlineStr">
        <is>
          <t>Ambato</t>
        </is>
      </c>
      <c r="C149" t="inlineStr">
        <is>
          <t>Kinder Joy</t>
        </is>
      </c>
      <c r="D149" s="4" t="n">
        <v>3639.5</v>
      </c>
      <c r="E149" s="4" t="n">
        <v>4776</v>
      </c>
      <c r="F149" s="4" t="n">
        <v>3201</v>
      </c>
      <c r="G149" s="5">
        <f>IF(E149=0,"",D149/E149-1)</f>
        <v/>
      </c>
      <c r="H149">
        <f>IF(E149=0,IF(D149&gt;0,"Revisar",""),IF(ABS(G149)&gt;Parámetros!$B$3,"Revisar",""))</f>
        <v/>
      </c>
      <c r="I149" s="6">
        <f>INDEX(Desempeño!$C$4:$C$12,MATCH(C149,Desempeño!$A$4:$A$12,0))</f>
        <v/>
      </c>
      <c r="J149" s="4">
        <f>MAX(0,D149*(1-I149*Parámetros!$B$8))</f>
        <v/>
      </c>
      <c r="K149" s="4">
        <f>D149*(1+I149*Parámetros!$B$8)</f>
        <v/>
      </c>
      <c r="L149">
        <f>INDEX(Desempeño!$H$4:$H$12,MATCH(C149,Desempeño!$A$4:$A$12,0))</f>
        <v/>
      </c>
      <c r="M149">
        <f>INDEX(Desempeño!$G$4:$G$12,MATCH(C149,Desempeño!$A$4:$A$12,0))</f>
        <v/>
      </c>
      <c r="N149" s="7">
        <f>INDEX(Parámetros!$B$13:$B$21,MATCH(C149,Parámetros!$A$13:$A$21,0))</f>
        <v/>
      </c>
      <c r="O149" s="4">
        <f>D149*N149</f>
        <v/>
      </c>
    </row>
    <row r="150">
      <c r="A150" t="inlineStr">
        <is>
          <t>Noviembre 2026</t>
        </is>
      </c>
      <c r="B150" t="inlineStr">
        <is>
          <t>Ambato</t>
        </is>
      </c>
      <c r="C150" t="inlineStr">
        <is>
          <t>Noggy</t>
        </is>
      </c>
      <c r="D150" s="4" t="n">
        <v>1813.2</v>
      </c>
      <c r="E150" s="4" t="n">
        <v>2744</v>
      </c>
      <c r="F150" s="4" t="n">
        <v>1454.7</v>
      </c>
      <c r="G150" s="5">
        <f>IF(E150=0,"",D150/E150-1)</f>
        <v/>
      </c>
      <c r="H150">
        <f>IF(E150=0,IF(D150&gt;0,"Revisar",""),IF(ABS(G150)&gt;Parámetros!$B$3,"Revisar",""))</f>
        <v/>
      </c>
      <c r="I150" s="6">
        <f>INDEX(Desempeño!$C$4:$C$12,MATCH(C150,Desempeño!$A$4:$A$12,0))</f>
        <v/>
      </c>
      <c r="J150" s="4">
        <f>MAX(0,D150*(1-I150*Parámetros!$B$8))</f>
        <v/>
      </c>
      <c r="K150" s="4">
        <f>D150*(1+I150*Parámetros!$B$8)</f>
        <v/>
      </c>
      <c r="L150">
        <f>INDEX(Desempeño!$H$4:$H$12,MATCH(C150,Desempeño!$A$4:$A$12,0))</f>
        <v/>
      </c>
      <c r="M150">
        <f>INDEX(Desempeño!$G$4:$G$12,MATCH(C150,Desempeño!$A$4:$A$12,0))</f>
        <v/>
      </c>
      <c r="N150" s="7">
        <f>INDEX(Parámetros!$B$13:$B$21,MATCH(C150,Parámetros!$A$13:$A$21,0))</f>
        <v/>
      </c>
      <c r="O150" s="4">
        <f>D150*N150</f>
        <v/>
      </c>
    </row>
    <row r="151">
      <c r="A151" t="inlineStr">
        <is>
          <t>Noviembre 2026</t>
        </is>
      </c>
      <c r="B151" t="inlineStr">
        <is>
          <t>Ambato</t>
        </is>
      </c>
      <c r="C151" t="inlineStr">
        <is>
          <t>Nutella</t>
        </is>
      </c>
      <c r="D151" s="4" t="n">
        <v>4154.8</v>
      </c>
      <c r="E151" s="4" t="n">
        <v>3389</v>
      </c>
      <c r="F151" s="4" t="n">
        <v>4269.7</v>
      </c>
      <c r="G151" s="5">
        <f>IF(E151=0,"",D151/E151-1)</f>
        <v/>
      </c>
      <c r="H151">
        <f>IF(E151=0,IF(D151&gt;0,"Revisar",""),IF(ABS(G151)&gt;Parámetros!$B$3,"Revisar",""))</f>
        <v/>
      </c>
      <c r="I151" s="6">
        <f>INDEX(Desempeño!$C$4:$C$12,MATCH(C151,Desempeño!$A$4:$A$12,0))</f>
        <v/>
      </c>
      <c r="J151" s="4">
        <f>MAX(0,D151*(1-I151*Parámetros!$B$8))</f>
        <v/>
      </c>
      <c r="K151" s="4">
        <f>D151*(1+I151*Parámetros!$B$8)</f>
        <v/>
      </c>
      <c r="L151">
        <f>INDEX(Desempeño!$H$4:$H$12,MATCH(C151,Desempeño!$A$4:$A$12,0))</f>
        <v/>
      </c>
      <c r="M151">
        <f>INDEX(Desempeño!$G$4:$G$12,MATCH(C151,Desempeño!$A$4:$A$12,0))</f>
        <v/>
      </c>
      <c r="N151" s="7">
        <f>INDEX(Parámetros!$B$13:$B$21,MATCH(C151,Parámetros!$A$13:$A$21,0))</f>
        <v/>
      </c>
      <c r="O151" s="4">
        <f>D151*N151</f>
        <v/>
      </c>
    </row>
    <row r="152">
      <c r="A152" t="inlineStr">
        <is>
          <t>Noviembre 2026</t>
        </is>
      </c>
      <c r="B152" t="inlineStr">
        <is>
          <t>Ambato</t>
        </is>
      </c>
      <c r="C152" t="inlineStr">
        <is>
          <t>Raffaello</t>
        </is>
      </c>
      <c r="D152" s="4" t="n">
        <v>917</v>
      </c>
      <c r="E152" s="4" t="n">
        <v>1480</v>
      </c>
      <c r="F152" s="4" t="n">
        <v>728.7</v>
      </c>
      <c r="G152" s="5">
        <f>IF(E152=0,"",D152/E152-1)</f>
        <v/>
      </c>
      <c r="H152">
        <f>IF(E152=0,IF(D152&gt;0,"Revisar",""),IF(ABS(G152)&gt;Parámetros!$B$3,"Revisar",""))</f>
        <v/>
      </c>
      <c r="I152" s="6">
        <f>INDEX(Desempeño!$C$4:$C$12,MATCH(C152,Desempeño!$A$4:$A$12,0))</f>
        <v/>
      </c>
      <c r="J152" s="4">
        <f>MAX(0,D152*(1-I152*Parámetros!$B$8))</f>
        <v/>
      </c>
      <c r="K152" s="4">
        <f>D152*(1+I152*Parámetros!$B$8)</f>
        <v/>
      </c>
      <c r="L152">
        <f>INDEX(Desempeño!$H$4:$H$12,MATCH(C152,Desempeño!$A$4:$A$12,0))</f>
        <v/>
      </c>
      <c r="M152">
        <f>INDEX(Desempeño!$G$4:$G$12,MATCH(C152,Desempeño!$A$4:$A$12,0))</f>
        <v/>
      </c>
      <c r="N152" s="7">
        <f>INDEX(Parámetros!$B$13:$B$21,MATCH(C152,Parámetros!$A$13:$A$21,0))</f>
        <v/>
      </c>
      <c r="O152" s="4">
        <f>D152*N152</f>
        <v/>
      </c>
    </row>
    <row r="153">
      <c r="A153" t="inlineStr">
        <is>
          <t>Noviembre 2026</t>
        </is>
      </c>
      <c r="B153" t="inlineStr">
        <is>
          <t>Ambato</t>
        </is>
      </c>
      <c r="C153" t="inlineStr">
        <is>
          <t>Rocher</t>
        </is>
      </c>
      <c r="D153" s="4" t="n">
        <v>5553.5</v>
      </c>
      <c r="E153" s="4" t="n">
        <v>10132</v>
      </c>
      <c r="F153" s="4" t="n">
        <v>3457.7</v>
      </c>
      <c r="G153" s="5">
        <f>IF(E153=0,"",D153/E153-1)</f>
        <v/>
      </c>
      <c r="H153">
        <f>IF(E153=0,IF(D153&gt;0,"Revisar",""),IF(ABS(G153)&gt;Parámetros!$B$3,"Revisar",""))</f>
        <v/>
      </c>
      <c r="I153" s="6">
        <f>INDEX(Desempeño!$C$4:$C$12,MATCH(C153,Desempeño!$A$4:$A$12,0))</f>
        <v/>
      </c>
      <c r="J153" s="4">
        <f>MAX(0,D153*(1-I153*Parámetros!$B$8))</f>
        <v/>
      </c>
      <c r="K153" s="4">
        <f>D153*(1+I153*Parámetros!$B$8)</f>
        <v/>
      </c>
      <c r="L153">
        <f>INDEX(Desempeño!$H$4:$H$12,MATCH(C153,Desempeño!$A$4:$A$12,0))</f>
        <v/>
      </c>
      <c r="M153">
        <f>INDEX(Desempeño!$G$4:$G$12,MATCH(C153,Desempeño!$A$4:$A$12,0))</f>
        <v/>
      </c>
      <c r="N153" s="7">
        <f>INDEX(Parámetros!$B$13:$B$21,MATCH(C153,Parámetros!$A$13:$A$21,0))</f>
        <v/>
      </c>
      <c r="O153" s="4">
        <f>D153*N153</f>
        <v/>
      </c>
    </row>
    <row r="154">
      <c r="A154" t="inlineStr">
        <is>
          <t>Noviembre 2026</t>
        </is>
      </c>
      <c r="B154" t="inlineStr">
        <is>
          <t>Ambato</t>
        </is>
      </c>
      <c r="C154" t="inlineStr">
        <is>
          <t>Tic Tac</t>
        </is>
      </c>
      <c r="D154" s="4" t="n">
        <v>1563.9</v>
      </c>
      <c r="E154" s="4" t="n">
        <v>1458</v>
      </c>
      <c r="F154" s="4" t="n">
        <v>1572</v>
      </c>
      <c r="G154" s="5">
        <f>IF(E154=0,"",D154/E154-1)</f>
        <v/>
      </c>
      <c r="H154">
        <f>IF(E154=0,IF(D154&gt;0,"Revisar",""),IF(ABS(G154)&gt;Parámetros!$B$3,"Revisar",""))</f>
        <v/>
      </c>
      <c r="I154" s="6">
        <f>INDEX(Desempeño!$C$4:$C$12,MATCH(C154,Desempeño!$A$4:$A$12,0))</f>
        <v/>
      </c>
      <c r="J154" s="4">
        <f>MAX(0,D154*(1-I154*Parámetros!$B$8))</f>
        <v/>
      </c>
      <c r="K154" s="4">
        <f>D154*(1+I154*Parámetros!$B$8)</f>
        <v/>
      </c>
      <c r="L154">
        <f>INDEX(Desempeño!$H$4:$H$12,MATCH(C154,Desempeño!$A$4:$A$12,0))</f>
        <v/>
      </c>
      <c r="M154">
        <f>INDEX(Desempeño!$G$4:$G$12,MATCH(C154,Desempeño!$A$4:$A$12,0))</f>
        <v/>
      </c>
      <c r="N154" s="7">
        <f>INDEX(Parámetros!$B$13:$B$21,MATCH(C154,Parámetros!$A$13:$A$21,0))</f>
        <v/>
      </c>
      <c r="O154" s="4">
        <f>D154*N154</f>
        <v/>
      </c>
    </row>
    <row r="155">
      <c r="A155" t="inlineStr">
        <is>
          <t>Noviembre 2026</t>
        </is>
      </c>
      <c r="B155" t="inlineStr">
        <is>
          <t>Cuenca</t>
        </is>
      </c>
      <c r="C155" t="inlineStr">
        <is>
          <t>Hanuta</t>
        </is>
      </c>
      <c r="D155" s="4" t="n">
        <v>4023.3</v>
      </c>
      <c r="E155" s="4" t="n">
        <v>5589</v>
      </c>
      <c r="F155" s="4" t="n">
        <v>2328</v>
      </c>
      <c r="G155" s="5">
        <f>IF(E155=0,"",D155/E155-1)</f>
        <v/>
      </c>
      <c r="H155">
        <f>IF(E155=0,IF(D155&gt;0,"Revisar",""),IF(ABS(G155)&gt;Parámetros!$B$3,"Revisar",""))</f>
        <v/>
      </c>
      <c r="I155" s="6">
        <f>INDEX(Desempeño!$C$4:$C$12,MATCH(C155,Desempeño!$A$4:$A$12,0))</f>
        <v/>
      </c>
      <c r="J155" s="4">
        <f>MAX(0,D155*(1-I155*Parámetros!$B$8))</f>
        <v/>
      </c>
      <c r="K155" s="4">
        <f>D155*(1+I155*Parámetros!$B$8)</f>
        <v/>
      </c>
      <c r="L155">
        <f>INDEX(Desempeño!$H$4:$H$12,MATCH(C155,Desempeño!$A$4:$A$12,0))</f>
        <v/>
      </c>
      <c r="M155">
        <f>INDEX(Desempeño!$G$4:$G$12,MATCH(C155,Desempeño!$A$4:$A$12,0))</f>
        <v/>
      </c>
      <c r="N155" s="7">
        <f>INDEX(Parámetros!$B$13:$B$21,MATCH(C155,Parámetros!$A$13:$A$21,0))</f>
        <v/>
      </c>
      <c r="O155" s="4">
        <f>D155*N155</f>
        <v/>
      </c>
    </row>
    <row r="156">
      <c r="A156" t="inlineStr">
        <is>
          <t>Noviembre 2026</t>
        </is>
      </c>
      <c r="B156" t="inlineStr">
        <is>
          <t>Cuenca</t>
        </is>
      </c>
      <c r="C156" t="inlineStr">
        <is>
          <t>Kinder Bueno</t>
        </is>
      </c>
      <c r="D156" s="4" t="n">
        <v>4726.9</v>
      </c>
      <c r="E156" s="4" t="n">
        <v>4698</v>
      </c>
      <c r="F156" s="4" t="n">
        <v>5227.7</v>
      </c>
      <c r="G156" s="5">
        <f>IF(E156=0,"",D156/E156-1)</f>
        <v/>
      </c>
      <c r="H156">
        <f>IF(E156=0,IF(D156&gt;0,"Revisar",""),IF(ABS(G156)&gt;Parámetros!$B$3,"Revisar",""))</f>
        <v/>
      </c>
      <c r="I156" s="6">
        <f>INDEX(Desempeño!$C$4:$C$12,MATCH(C156,Desempeño!$A$4:$A$12,0))</f>
        <v/>
      </c>
      <c r="J156" s="4">
        <f>MAX(0,D156*(1-I156*Parámetros!$B$8))</f>
        <v/>
      </c>
      <c r="K156" s="4">
        <f>D156*(1+I156*Parámetros!$B$8)</f>
        <v/>
      </c>
      <c r="L156">
        <f>INDEX(Desempeño!$H$4:$H$12,MATCH(C156,Desempeño!$A$4:$A$12,0))</f>
        <v/>
      </c>
      <c r="M156">
        <f>INDEX(Desempeño!$G$4:$G$12,MATCH(C156,Desempeño!$A$4:$A$12,0))</f>
        <v/>
      </c>
      <c r="N156" s="7">
        <f>INDEX(Parámetros!$B$13:$B$21,MATCH(C156,Parámetros!$A$13:$A$21,0))</f>
        <v/>
      </c>
      <c r="O156" s="4">
        <f>D156*N156</f>
        <v/>
      </c>
    </row>
    <row r="157">
      <c r="A157" t="inlineStr">
        <is>
          <t>Noviembre 2026</t>
        </is>
      </c>
      <c r="B157" t="inlineStr">
        <is>
          <t>Cuenca</t>
        </is>
      </c>
      <c r="C157" t="inlineStr">
        <is>
          <t>Kinder Chocolate</t>
        </is>
      </c>
      <c r="D157" s="4" t="n">
        <v>1189.5</v>
      </c>
      <c r="E157" s="4" t="n">
        <v>858</v>
      </c>
      <c r="F157" s="4" t="n">
        <v>1050.7</v>
      </c>
      <c r="G157" s="5">
        <f>IF(E157=0,"",D157/E157-1)</f>
        <v/>
      </c>
      <c r="H157">
        <f>IF(E157=0,IF(D157&gt;0,"Revisar",""),IF(ABS(G157)&gt;Parámetros!$B$3,"Revisar",""))</f>
        <v/>
      </c>
      <c r="I157" s="6">
        <f>INDEX(Desempeño!$C$4:$C$12,MATCH(C157,Desempeño!$A$4:$A$12,0))</f>
        <v/>
      </c>
      <c r="J157" s="4">
        <f>MAX(0,D157*(1-I157*Parámetros!$B$8))</f>
        <v/>
      </c>
      <c r="K157" s="4">
        <f>D157*(1+I157*Parámetros!$B$8)</f>
        <v/>
      </c>
      <c r="L157">
        <f>INDEX(Desempeño!$H$4:$H$12,MATCH(C157,Desempeño!$A$4:$A$12,0))</f>
        <v/>
      </c>
      <c r="M157">
        <f>INDEX(Desempeño!$G$4:$G$12,MATCH(C157,Desempeño!$A$4:$A$12,0))</f>
        <v/>
      </c>
      <c r="N157" s="7">
        <f>INDEX(Parámetros!$B$13:$B$21,MATCH(C157,Parámetros!$A$13:$A$21,0))</f>
        <v/>
      </c>
      <c r="O157" s="4">
        <f>D157*N157</f>
        <v/>
      </c>
    </row>
    <row r="158">
      <c r="A158" t="inlineStr">
        <is>
          <t>Noviembre 2026</t>
        </is>
      </c>
      <c r="B158" t="inlineStr">
        <is>
          <t>Cuenca</t>
        </is>
      </c>
      <c r="C158" t="inlineStr">
        <is>
          <t>Kinder Joy</t>
        </is>
      </c>
      <c r="D158" s="4" t="n">
        <v>8269.5</v>
      </c>
      <c r="E158" s="4" t="n">
        <v>8246</v>
      </c>
      <c r="F158" s="4" t="n">
        <v>6056</v>
      </c>
      <c r="G158" s="5">
        <f>IF(E158=0,"",D158/E158-1)</f>
        <v/>
      </c>
      <c r="H158">
        <f>IF(E158=0,IF(D158&gt;0,"Revisar",""),IF(ABS(G158)&gt;Parámetros!$B$3,"Revisar",""))</f>
        <v/>
      </c>
      <c r="I158" s="6">
        <f>INDEX(Desempeño!$C$4:$C$12,MATCH(C158,Desempeño!$A$4:$A$12,0))</f>
        <v/>
      </c>
      <c r="J158" s="4">
        <f>MAX(0,D158*(1-I158*Parámetros!$B$8))</f>
        <v/>
      </c>
      <c r="K158" s="4">
        <f>D158*(1+I158*Parámetros!$B$8)</f>
        <v/>
      </c>
      <c r="L158">
        <f>INDEX(Desempeño!$H$4:$H$12,MATCH(C158,Desempeño!$A$4:$A$12,0))</f>
        <v/>
      </c>
      <c r="M158">
        <f>INDEX(Desempeño!$G$4:$G$12,MATCH(C158,Desempeño!$A$4:$A$12,0))</f>
        <v/>
      </c>
      <c r="N158" s="7">
        <f>INDEX(Parámetros!$B$13:$B$21,MATCH(C158,Parámetros!$A$13:$A$21,0))</f>
        <v/>
      </c>
      <c r="O158" s="4">
        <f>D158*N158</f>
        <v/>
      </c>
    </row>
    <row r="159">
      <c r="A159" t="inlineStr">
        <is>
          <t>Noviembre 2026</t>
        </is>
      </c>
      <c r="B159" t="inlineStr">
        <is>
          <t>Cuenca</t>
        </is>
      </c>
      <c r="C159" t="inlineStr">
        <is>
          <t>Noggy</t>
        </is>
      </c>
      <c r="D159" s="4" t="n">
        <v>4569.9</v>
      </c>
      <c r="E159" s="4" t="n">
        <v>8009</v>
      </c>
      <c r="F159" s="4" t="n">
        <v>3304.3</v>
      </c>
      <c r="G159" s="5">
        <f>IF(E159=0,"",D159/E159-1)</f>
        <v/>
      </c>
      <c r="H159">
        <f>IF(E159=0,IF(D159&gt;0,"Revisar",""),IF(ABS(G159)&gt;Parámetros!$B$3,"Revisar",""))</f>
        <v/>
      </c>
      <c r="I159" s="6">
        <f>INDEX(Desempeño!$C$4:$C$12,MATCH(C159,Desempeño!$A$4:$A$12,0))</f>
        <v/>
      </c>
      <c r="J159" s="4">
        <f>MAX(0,D159*(1-I159*Parámetros!$B$8))</f>
        <v/>
      </c>
      <c r="K159" s="4">
        <f>D159*(1+I159*Parámetros!$B$8)</f>
        <v/>
      </c>
      <c r="L159">
        <f>INDEX(Desempeño!$H$4:$H$12,MATCH(C159,Desempeño!$A$4:$A$12,0))</f>
        <v/>
      </c>
      <c r="M159">
        <f>INDEX(Desempeño!$G$4:$G$12,MATCH(C159,Desempeño!$A$4:$A$12,0))</f>
        <v/>
      </c>
      <c r="N159" s="7">
        <f>INDEX(Parámetros!$B$13:$B$21,MATCH(C159,Parámetros!$A$13:$A$21,0))</f>
        <v/>
      </c>
      <c r="O159" s="4">
        <f>D159*N159</f>
        <v/>
      </c>
    </row>
    <row r="160">
      <c r="A160" t="inlineStr">
        <is>
          <t>Noviembre 2026</t>
        </is>
      </c>
      <c r="B160" t="inlineStr">
        <is>
          <t>Cuenca</t>
        </is>
      </c>
      <c r="C160" t="inlineStr">
        <is>
          <t>Nutella</t>
        </is>
      </c>
      <c r="D160" s="4" t="n">
        <v>14881.3</v>
      </c>
      <c r="E160" s="4" t="n">
        <v>18446</v>
      </c>
      <c r="F160" s="4" t="n">
        <v>18400</v>
      </c>
      <c r="G160" s="5">
        <f>IF(E160=0,"",D160/E160-1)</f>
        <v/>
      </c>
      <c r="H160">
        <f>IF(E160=0,IF(D160&gt;0,"Revisar",""),IF(ABS(G160)&gt;Parámetros!$B$3,"Revisar",""))</f>
        <v/>
      </c>
      <c r="I160" s="6">
        <f>INDEX(Desempeño!$C$4:$C$12,MATCH(C160,Desempeño!$A$4:$A$12,0))</f>
        <v/>
      </c>
      <c r="J160" s="4">
        <f>MAX(0,D160*(1-I160*Parámetros!$B$8))</f>
        <v/>
      </c>
      <c r="K160" s="4">
        <f>D160*(1+I160*Parámetros!$B$8)</f>
        <v/>
      </c>
      <c r="L160">
        <f>INDEX(Desempeño!$H$4:$H$12,MATCH(C160,Desempeño!$A$4:$A$12,0))</f>
        <v/>
      </c>
      <c r="M160">
        <f>INDEX(Desempeño!$G$4:$G$12,MATCH(C160,Desempeño!$A$4:$A$12,0))</f>
        <v/>
      </c>
      <c r="N160" s="7">
        <f>INDEX(Parámetros!$B$13:$B$21,MATCH(C160,Parámetros!$A$13:$A$21,0))</f>
        <v/>
      </c>
      <c r="O160" s="4">
        <f>D160*N160</f>
        <v/>
      </c>
    </row>
    <row r="161">
      <c r="A161" t="inlineStr">
        <is>
          <t>Noviembre 2026</t>
        </is>
      </c>
      <c r="B161" t="inlineStr">
        <is>
          <t>Cuenca</t>
        </is>
      </c>
      <c r="C161" t="inlineStr">
        <is>
          <t>Raffaello</t>
        </is>
      </c>
      <c r="D161" s="4" t="n">
        <v>2152.2</v>
      </c>
      <c r="E161" s="4" t="n">
        <v>3100</v>
      </c>
      <c r="F161" s="4" t="n">
        <v>1735.3</v>
      </c>
      <c r="G161" s="5">
        <f>IF(E161=0,"",D161/E161-1)</f>
        <v/>
      </c>
      <c r="H161">
        <f>IF(E161=0,IF(D161&gt;0,"Revisar",""),IF(ABS(G161)&gt;Parámetros!$B$3,"Revisar",""))</f>
        <v/>
      </c>
      <c r="I161" s="6">
        <f>INDEX(Desempeño!$C$4:$C$12,MATCH(C161,Desempeño!$A$4:$A$12,0))</f>
        <v/>
      </c>
      <c r="J161" s="4">
        <f>MAX(0,D161*(1-I161*Parámetros!$B$8))</f>
        <v/>
      </c>
      <c r="K161" s="4">
        <f>D161*(1+I161*Parámetros!$B$8)</f>
        <v/>
      </c>
      <c r="L161">
        <f>INDEX(Desempeño!$H$4:$H$12,MATCH(C161,Desempeño!$A$4:$A$12,0))</f>
        <v/>
      </c>
      <c r="M161">
        <f>INDEX(Desempeño!$G$4:$G$12,MATCH(C161,Desempeño!$A$4:$A$12,0))</f>
        <v/>
      </c>
      <c r="N161" s="7">
        <f>INDEX(Parámetros!$B$13:$B$21,MATCH(C161,Parámetros!$A$13:$A$21,0))</f>
        <v/>
      </c>
      <c r="O161" s="4">
        <f>D161*N161</f>
        <v/>
      </c>
    </row>
    <row r="162">
      <c r="A162" t="inlineStr">
        <is>
          <t>Noviembre 2026</t>
        </is>
      </c>
      <c r="B162" t="inlineStr">
        <is>
          <t>Cuenca</t>
        </is>
      </c>
      <c r="C162" t="inlineStr">
        <is>
          <t>Rocher</t>
        </is>
      </c>
      <c r="D162" s="4" t="n">
        <v>11912.2</v>
      </c>
      <c r="E162" s="4" t="n">
        <v>15023</v>
      </c>
      <c r="F162" s="4" t="n">
        <v>6357.7</v>
      </c>
      <c r="G162" s="5">
        <f>IF(E162=0,"",D162/E162-1)</f>
        <v/>
      </c>
      <c r="H162">
        <f>IF(E162=0,IF(D162&gt;0,"Revisar",""),IF(ABS(G162)&gt;Parámetros!$B$3,"Revisar",""))</f>
        <v/>
      </c>
      <c r="I162" s="6">
        <f>INDEX(Desempeño!$C$4:$C$12,MATCH(C162,Desempeño!$A$4:$A$12,0))</f>
        <v/>
      </c>
      <c r="J162" s="4">
        <f>MAX(0,D162*(1-I162*Parámetros!$B$8))</f>
        <v/>
      </c>
      <c r="K162" s="4">
        <f>D162*(1+I162*Parámetros!$B$8)</f>
        <v/>
      </c>
      <c r="L162">
        <f>INDEX(Desempeño!$H$4:$H$12,MATCH(C162,Desempeño!$A$4:$A$12,0))</f>
        <v/>
      </c>
      <c r="M162">
        <f>INDEX(Desempeño!$G$4:$G$12,MATCH(C162,Desempeño!$A$4:$A$12,0))</f>
        <v/>
      </c>
      <c r="N162" s="7">
        <f>INDEX(Parámetros!$B$13:$B$21,MATCH(C162,Parámetros!$A$13:$A$21,0))</f>
        <v/>
      </c>
      <c r="O162" s="4">
        <f>D162*N162</f>
        <v/>
      </c>
    </row>
    <row r="163">
      <c r="A163" t="inlineStr">
        <is>
          <t>Noviembre 2026</t>
        </is>
      </c>
      <c r="B163" t="inlineStr">
        <is>
          <t>Cuenca</t>
        </is>
      </c>
      <c r="C163" t="inlineStr">
        <is>
          <t>Tic Tac</t>
        </is>
      </c>
      <c r="D163" s="4" t="n">
        <v>2599.3</v>
      </c>
      <c r="E163" s="4" t="n">
        <v>2666</v>
      </c>
      <c r="F163" s="4" t="n">
        <v>2678</v>
      </c>
      <c r="G163" s="5">
        <f>IF(E163=0,"",D163/E163-1)</f>
        <v/>
      </c>
      <c r="H163">
        <f>IF(E163=0,IF(D163&gt;0,"Revisar",""),IF(ABS(G163)&gt;Parámetros!$B$3,"Revisar",""))</f>
        <v/>
      </c>
      <c r="I163" s="6">
        <f>INDEX(Desempeño!$C$4:$C$12,MATCH(C163,Desempeño!$A$4:$A$12,0))</f>
        <v/>
      </c>
      <c r="J163" s="4">
        <f>MAX(0,D163*(1-I163*Parámetros!$B$8))</f>
        <v/>
      </c>
      <c r="K163" s="4">
        <f>D163*(1+I163*Parámetros!$B$8)</f>
        <v/>
      </c>
      <c r="L163">
        <f>INDEX(Desempeño!$H$4:$H$12,MATCH(C163,Desempeño!$A$4:$A$12,0))</f>
        <v/>
      </c>
      <c r="M163">
        <f>INDEX(Desempeño!$G$4:$G$12,MATCH(C163,Desempeño!$A$4:$A$12,0))</f>
        <v/>
      </c>
      <c r="N163" s="7">
        <f>INDEX(Parámetros!$B$13:$B$21,MATCH(C163,Parámetros!$A$13:$A$21,0))</f>
        <v/>
      </c>
      <c r="O163" s="4">
        <f>D163*N163</f>
        <v/>
      </c>
    </row>
    <row r="164">
      <c r="A164" t="inlineStr">
        <is>
          <t>Noviembre 2026</t>
        </is>
      </c>
      <c r="B164" t="inlineStr">
        <is>
          <t>Guayaquil</t>
        </is>
      </c>
      <c r="C164" t="inlineStr">
        <is>
          <t>Hanuta</t>
        </is>
      </c>
      <c r="D164" s="4" t="n">
        <v>1802.4</v>
      </c>
      <c r="E164" s="4" t="n">
        <v>2021</v>
      </c>
      <c r="F164" s="4" t="n">
        <v>1718.3</v>
      </c>
      <c r="G164" s="5">
        <f>IF(E164=0,"",D164/E164-1)</f>
        <v/>
      </c>
      <c r="H164">
        <f>IF(E164=0,IF(D164&gt;0,"Revisar",""),IF(ABS(G164)&gt;Parámetros!$B$3,"Revisar",""))</f>
        <v/>
      </c>
      <c r="I164" s="6">
        <f>INDEX(Desempeño!$C$4:$C$12,MATCH(C164,Desempeño!$A$4:$A$12,0))</f>
        <v/>
      </c>
      <c r="J164" s="4">
        <f>MAX(0,D164*(1-I164*Parámetros!$B$8))</f>
        <v/>
      </c>
      <c r="K164" s="4">
        <f>D164*(1+I164*Parámetros!$B$8)</f>
        <v/>
      </c>
      <c r="L164">
        <f>INDEX(Desempeño!$H$4:$H$12,MATCH(C164,Desempeño!$A$4:$A$12,0))</f>
        <v/>
      </c>
      <c r="M164">
        <f>INDEX(Desempeño!$G$4:$G$12,MATCH(C164,Desempeño!$A$4:$A$12,0))</f>
        <v/>
      </c>
      <c r="N164" s="7">
        <f>INDEX(Parámetros!$B$13:$B$21,MATCH(C164,Parámetros!$A$13:$A$21,0))</f>
        <v/>
      </c>
      <c r="O164" s="4">
        <f>D164*N164</f>
        <v/>
      </c>
    </row>
    <row r="165">
      <c r="A165" t="inlineStr">
        <is>
          <t>Noviembre 2026</t>
        </is>
      </c>
      <c r="B165" t="inlineStr">
        <is>
          <t>Guayaquil</t>
        </is>
      </c>
      <c r="C165" t="inlineStr">
        <is>
          <t>Kinder Bueno</t>
        </is>
      </c>
      <c r="D165" s="4" t="n">
        <v>1977.4</v>
      </c>
      <c r="E165" s="4" t="n">
        <v>2351</v>
      </c>
      <c r="F165" s="4" t="n">
        <v>1675.3</v>
      </c>
      <c r="G165" s="5">
        <f>IF(E165=0,"",D165/E165-1)</f>
        <v/>
      </c>
      <c r="H165">
        <f>IF(E165=0,IF(D165&gt;0,"Revisar",""),IF(ABS(G165)&gt;Parámetros!$B$3,"Revisar",""))</f>
        <v/>
      </c>
      <c r="I165" s="6">
        <f>INDEX(Desempeño!$C$4:$C$12,MATCH(C165,Desempeño!$A$4:$A$12,0))</f>
        <v/>
      </c>
      <c r="J165" s="4">
        <f>MAX(0,D165*(1-I165*Parámetros!$B$8))</f>
        <v/>
      </c>
      <c r="K165" s="4">
        <f>D165*(1+I165*Parámetros!$B$8)</f>
        <v/>
      </c>
      <c r="L165">
        <f>INDEX(Desempeño!$H$4:$H$12,MATCH(C165,Desempeño!$A$4:$A$12,0))</f>
        <v/>
      </c>
      <c r="M165">
        <f>INDEX(Desempeño!$G$4:$G$12,MATCH(C165,Desempeño!$A$4:$A$12,0))</f>
        <v/>
      </c>
      <c r="N165" s="7">
        <f>INDEX(Parámetros!$B$13:$B$21,MATCH(C165,Parámetros!$A$13:$A$21,0))</f>
        <v/>
      </c>
      <c r="O165" s="4">
        <f>D165*N165</f>
        <v/>
      </c>
    </row>
    <row r="166">
      <c r="A166" t="inlineStr">
        <is>
          <t>Noviembre 2026</t>
        </is>
      </c>
      <c r="B166" t="inlineStr">
        <is>
          <t>Guayaquil</t>
        </is>
      </c>
      <c r="C166" t="inlineStr">
        <is>
          <t>Kinder Chocolate</t>
        </is>
      </c>
      <c r="D166" s="4" t="n">
        <v>374.6</v>
      </c>
      <c r="E166" s="4" t="n">
        <v>359</v>
      </c>
      <c r="F166" s="4" t="n">
        <v>342</v>
      </c>
      <c r="G166" s="5">
        <f>IF(E166=0,"",D166/E166-1)</f>
        <v/>
      </c>
      <c r="H166">
        <f>IF(E166=0,IF(D166&gt;0,"Revisar",""),IF(ABS(G166)&gt;Parámetros!$B$3,"Revisar",""))</f>
        <v/>
      </c>
      <c r="I166" s="6">
        <f>INDEX(Desempeño!$C$4:$C$12,MATCH(C166,Desempeño!$A$4:$A$12,0))</f>
        <v/>
      </c>
      <c r="J166" s="4">
        <f>MAX(0,D166*(1-I166*Parámetros!$B$8))</f>
        <v/>
      </c>
      <c r="K166" s="4">
        <f>D166*(1+I166*Parámetros!$B$8)</f>
        <v/>
      </c>
      <c r="L166">
        <f>INDEX(Desempeño!$H$4:$H$12,MATCH(C166,Desempeño!$A$4:$A$12,0))</f>
        <v/>
      </c>
      <c r="M166">
        <f>INDEX(Desempeño!$G$4:$G$12,MATCH(C166,Desempeño!$A$4:$A$12,0))</f>
        <v/>
      </c>
      <c r="N166" s="7">
        <f>INDEX(Parámetros!$B$13:$B$21,MATCH(C166,Parámetros!$A$13:$A$21,0))</f>
        <v/>
      </c>
      <c r="O166" s="4">
        <f>D166*N166</f>
        <v/>
      </c>
    </row>
    <row r="167">
      <c r="A167" t="inlineStr">
        <is>
          <t>Noviembre 2026</t>
        </is>
      </c>
      <c r="B167" t="inlineStr">
        <is>
          <t>Guayaquil</t>
        </is>
      </c>
      <c r="C167" t="inlineStr">
        <is>
          <t>Kinder Joy</t>
        </is>
      </c>
      <c r="D167" s="4" t="n">
        <v>6331.7</v>
      </c>
      <c r="E167" s="4" t="n">
        <v>8750</v>
      </c>
      <c r="F167" s="4" t="n">
        <v>5381</v>
      </c>
      <c r="G167" s="5">
        <f>IF(E167=0,"",D167/E167-1)</f>
        <v/>
      </c>
      <c r="H167">
        <f>IF(E167=0,IF(D167&gt;0,"Revisar",""),IF(ABS(G167)&gt;Parámetros!$B$3,"Revisar",""))</f>
        <v/>
      </c>
      <c r="I167" s="6">
        <f>INDEX(Desempeño!$C$4:$C$12,MATCH(C167,Desempeño!$A$4:$A$12,0))</f>
        <v/>
      </c>
      <c r="J167" s="4">
        <f>MAX(0,D167*(1-I167*Parámetros!$B$8))</f>
        <v/>
      </c>
      <c r="K167" s="4">
        <f>D167*(1+I167*Parámetros!$B$8)</f>
        <v/>
      </c>
      <c r="L167">
        <f>INDEX(Desempeño!$H$4:$H$12,MATCH(C167,Desempeño!$A$4:$A$12,0))</f>
        <v/>
      </c>
      <c r="M167">
        <f>INDEX(Desempeño!$G$4:$G$12,MATCH(C167,Desempeño!$A$4:$A$12,0))</f>
        <v/>
      </c>
      <c r="N167" s="7">
        <f>INDEX(Parámetros!$B$13:$B$21,MATCH(C167,Parámetros!$A$13:$A$21,0))</f>
        <v/>
      </c>
      <c r="O167" s="4">
        <f>D167*N167</f>
        <v/>
      </c>
    </row>
    <row r="168">
      <c r="A168" t="inlineStr">
        <is>
          <t>Noviembre 2026</t>
        </is>
      </c>
      <c r="B168" t="inlineStr">
        <is>
          <t>Guayaquil</t>
        </is>
      </c>
      <c r="C168" t="inlineStr">
        <is>
          <t>Noggy</t>
        </is>
      </c>
      <c r="D168" s="4" t="n">
        <v>2114.6</v>
      </c>
      <c r="E168" s="4" t="n">
        <v>3149</v>
      </c>
      <c r="F168" s="4" t="n">
        <v>1658.3</v>
      </c>
      <c r="G168" s="5">
        <f>IF(E168=0,"",D168/E168-1)</f>
        <v/>
      </c>
      <c r="H168">
        <f>IF(E168=0,IF(D168&gt;0,"Revisar",""),IF(ABS(G168)&gt;Parámetros!$B$3,"Revisar",""))</f>
        <v/>
      </c>
      <c r="I168" s="6">
        <f>INDEX(Desempeño!$C$4:$C$12,MATCH(C168,Desempeño!$A$4:$A$12,0))</f>
        <v/>
      </c>
      <c r="J168" s="4">
        <f>MAX(0,D168*(1-I168*Parámetros!$B$8))</f>
        <v/>
      </c>
      <c r="K168" s="4">
        <f>D168*(1+I168*Parámetros!$B$8)</f>
        <v/>
      </c>
      <c r="L168">
        <f>INDEX(Desempeño!$H$4:$H$12,MATCH(C168,Desempeño!$A$4:$A$12,0))</f>
        <v/>
      </c>
      <c r="M168">
        <f>INDEX(Desempeño!$G$4:$G$12,MATCH(C168,Desempeño!$A$4:$A$12,0))</f>
        <v/>
      </c>
      <c r="N168" s="7">
        <f>INDEX(Parámetros!$B$13:$B$21,MATCH(C168,Parámetros!$A$13:$A$21,0))</f>
        <v/>
      </c>
      <c r="O168" s="4">
        <f>D168*N168</f>
        <v/>
      </c>
    </row>
    <row r="169">
      <c r="A169" t="inlineStr">
        <is>
          <t>Noviembre 2026</t>
        </is>
      </c>
      <c r="B169" t="inlineStr">
        <is>
          <t>Guayaquil</t>
        </is>
      </c>
      <c r="C169" t="inlineStr">
        <is>
          <t>Nutella</t>
        </is>
      </c>
      <c r="D169" s="4" t="n">
        <v>7132.5</v>
      </c>
      <c r="E169" s="4" t="n">
        <v>4571</v>
      </c>
      <c r="F169" s="4" t="n">
        <v>9297.299999999999</v>
      </c>
      <c r="G169" s="5">
        <f>IF(E169=0,"",D169/E169-1)</f>
        <v/>
      </c>
      <c r="H169">
        <f>IF(E169=0,IF(D169&gt;0,"Revisar",""),IF(ABS(G169)&gt;Parámetros!$B$3,"Revisar",""))</f>
        <v/>
      </c>
      <c r="I169" s="6">
        <f>INDEX(Desempeño!$C$4:$C$12,MATCH(C169,Desempeño!$A$4:$A$12,0))</f>
        <v/>
      </c>
      <c r="J169" s="4">
        <f>MAX(0,D169*(1-I169*Parámetros!$B$8))</f>
        <v/>
      </c>
      <c r="K169" s="4">
        <f>D169*(1+I169*Parámetros!$B$8)</f>
        <v/>
      </c>
      <c r="L169">
        <f>INDEX(Desempeño!$H$4:$H$12,MATCH(C169,Desempeño!$A$4:$A$12,0))</f>
        <v/>
      </c>
      <c r="M169">
        <f>INDEX(Desempeño!$G$4:$G$12,MATCH(C169,Desempeño!$A$4:$A$12,0))</f>
        <v/>
      </c>
      <c r="N169" s="7">
        <f>INDEX(Parámetros!$B$13:$B$21,MATCH(C169,Parámetros!$A$13:$A$21,0))</f>
        <v/>
      </c>
      <c r="O169" s="4">
        <f>D169*N169</f>
        <v/>
      </c>
    </row>
    <row r="170">
      <c r="A170" t="inlineStr">
        <is>
          <t>Noviembre 2026</t>
        </is>
      </c>
      <c r="B170" t="inlineStr">
        <is>
          <t>Guayaquil</t>
        </is>
      </c>
      <c r="C170" t="inlineStr">
        <is>
          <t>Raffaello</t>
        </is>
      </c>
      <c r="D170" s="4" t="n">
        <v>429.3</v>
      </c>
      <c r="E170" s="4" t="n">
        <v>866</v>
      </c>
      <c r="F170" s="4" t="n">
        <v>302.7</v>
      </c>
      <c r="G170" s="5">
        <f>IF(E170=0,"",D170/E170-1)</f>
        <v/>
      </c>
      <c r="H170">
        <f>IF(E170=0,IF(D170&gt;0,"Revisar",""),IF(ABS(G170)&gt;Parámetros!$B$3,"Revisar",""))</f>
        <v/>
      </c>
      <c r="I170" s="6">
        <f>INDEX(Desempeño!$C$4:$C$12,MATCH(C170,Desempeño!$A$4:$A$12,0))</f>
        <v/>
      </c>
      <c r="J170" s="4">
        <f>MAX(0,D170*(1-I170*Parámetros!$B$8))</f>
        <v/>
      </c>
      <c r="K170" s="4">
        <f>D170*(1+I170*Parámetros!$B$8)</f>
        <v/>
      </c>
      <c r="L170">
        <f>INDEX(Desempeño!$H$4:$H$12,MATCH(C170,Desempeño!$A$4:$A$12,0))</f>
        <v/>
      </c>
      <c r="M170">
        <f>INDEX(Desempeño!$G$4:$G$12,MATCH(C170,Desempeño!$A$4:$A$12,0))</f>
        <v/>
      </c>
      <c r="N170" s="7">
        <f>INDEX(Parámetros!$B$13:$B$21,MATCH(C170,Parámetros!$A$13:$A$21,0))</f>
        <v/>
      </c>
      <c r="O170" s="4">
        <f>D170*N170</f>
        <v/>
      </c>
    </row>
    <row r="171">
      <c r="A171" t="inlineStr">
        <is>
          <t>Noviembre 2026</t>
        </is>
      </c>
      <c r="B171" t="inlineStr">
        <is>
          <t>Guayaquil</t>
        </is>
      </c>
      <c r="C171" t="inlineStr">
        <is>
          <t>Rocher</t>
        </is>
      </c>
      <c r="D171" s="4" t="n">
        <v>7105</v>
      </c>
      <c r="E171" s="4" t="n">
        <v>10251</v>
      </c>
      <c r="F171" s="4" t="n">
        <v>5359.7</v>
      </c>
      <c r="G171" s="5">
        <f>IF(E171=0,"",D171/E171-1)</f>
        <v/>
      </c>
      <c r="H171">
        <f>IF(E171=0,IF(D171&gt;0,"Revisar",""),IF(ABS(G171)&gt;Parámetros!$B$3,"Revisar",""))</f>
        <v/>
      </c>
      <c r="I171" s="6">
        <f>INDEX(Desempeño!$C$4:$C$12,MATCH(C171,Desempeño!$A$4:$A$12,0))</f>
        <v/>
      </c>
      <c r="J171" s="4">
        <f>MAX(0,D171*(1-I171*Parámetros!$B$8))</f>
        <v/>
      </c>
      <c r="K171" s="4">
        <f>D171*(1+I171*Parámetros!$B$8)</f>
        <v/>
      </c>
      <c r="L171">
        <f>INDEX(Desempeño!$H$4:$H$12,MATCH(C171,Desempeño!$A$4:$A$12,0))</f>
        <v/>
      </c>
      <c r="M171">
        <f>INDEX(Desempeño!$G$4:$G$12,MATCH(C171,Desempeño!$A$4:$A$12,0))</f>
        <v/>
      </c>
      <c r="N171" s="7">
        <f>INDEX(Parámetros!$B$13:$B$21,MATCH(C171,Parámetros!$A$13:$A$21,0))</f>
        <v/>
      </c>
      <c r="O171" s="4">
        <f>D171*N171</f>
        <v/>
      </c>
    </row>
    <row r="172">
      <c r="A172" t="inlineStr">
        <is>
          <t>Noviembre 2026</t>
        </is>
      </c>
      <c r="B172" t="inlineStr">
        <is>
          <t>Guayaquil</t>
        </is>
      </c>
      <c r="C172" t="inlineStr">
        <is>
          <t>Tic Tac</t>
        </is>
      </c>
      <c r="D172" s="4" t="n">
        <v>3058</v>
      </c>
      <c r="E172" s="4" t="n">
        <v>3025</v>
      </c>
      <c r="F172" s="4" t="n">
        <v>2986</v>
      </c>
      <c r="G172" s="5">
        <f>IF(E172=0,"",D172/E172-1)</f>
        <v/>
      </c>
      <c r="H172">
        <f>IF(E172=0,IF(D172&gt;0,"Revisar",""),IF(ABS(G172)&gt;Parámetros!$B$3,"Revisar",""))</f>
        <v/>
      </c>
      <c r="I172" s="6">
        <f>INDEX(Desempeño!$C$4:$C$12,MATCH(C172,Desempeño!$A$4:$A$12,0))</f>
        <v/>
      </c>
      <c r="J172" s="4">
        <f>MAX(0,D172*(1-I172*Parámetros!$B$8))</f>
        <v/>
      </c>
      <c r="K172" s="4">
        <f>D172*(1+I172*Parámetros!$B$8)</f>
        <v/>
      </c>
      <c r="L172">
        <f>INDEX(Desempeño!$H$4:$H$12,MATCH(C172,Desempeño!$A$4:$A$12,0))</f>
        <v/>
      </c>
      <c r="M172">
        <f>INDEX(Desempeño!$G$4:$G$12,MATCH(C172,Desempeño!$A$4:$A$12,0))</f>
        <v/>
      </c>
      <c r="N172" s="7">
        <f>INDEX(Parámetros!$B$13:$B$21,MATCH(C172,Parámetros!$A$13:$A$21,0))</f>
        <v/>
      </c>
      <c r="O172" s="4">
        <f>D172*N172</f>
        <v/>
      </c>
    </row>
    <row r="173">
      <c r="A173" t="inlineStr">
        <is>
          <t>Noviembre 2026</t>
        </is>
      </c>
      <c r="B173" t="inlineStr">
        <is>
          <t>Ibarra</t>
        </is>
      </c>
      <c r="C173" t="inlineStr">
        <is>
          <t>Hanuta</t>
        </is>
      </c>
      <c r="D173" s="4" t="n">
        <v>178.7</v>
      </c>
      <c r="E173" s="4" t="n">
        <v>247</v>
      </c>
      <c r="F173" s="4" t="n">
        <v>124.7</v>
      </c>
      <c r="G173" s="5">
        <f>IF(E173=0,"",D173/E173-1)</f>
        <v/>
      </c>
      <c r="H173">
        <f>IF(E173=0,IF(D173&gt;0,"Revisar",""),IF(ABS(G173)&gt;Parámetros!$B$3,"Revisar",""))</f>
        <v/>
      </c>
      <c r="I173" s="6">
        <f>INDEX(Desempeño!$C$4:$C$12,MATCH(C173,Desempeño!$A$4:$A$12,0))</f>
        <v/>
      </c>
      <c r="J173" s="4">
        <f>MAX(0,D173*(1-I173*Parámetros!$B$8))</f>
        <v/>
      </c>
      <c r="K173" s="4">
        <f>D173*(1+I173*Parámetros!$B$8)</f>
        <v/>
      </c>
      <c r="L173">
        <f>INDEX(Desempeño!$H$4:$H$12,MATCH(C173,Desempeño!$A$4:$A$12,0))</f>
        <v/>
      </c>
      <c r="M173">
        <f>INDEX(Desempeño!$G$4:$G$12,MATCH(C173,Desempeño!$A$4:$A$12,0))</f>
        <v/>
      </c>
      <c r="N173" s="7">
        <f>INDEX(Parámetros!$B$13:$B$21,MATCH(C173,Parámetros!$A$13:$A$21,0))</f>
        <v/>
      </c>
      <c r="O173" s="4">
        <f>D173*N173</f>
        <v/>
      </c>
    </row>
    <row r="174">
      <c r="A174" t="inlineStr">
        <is>
          <t>Noviembre 2026</t>
        </is>
      </c>
      <c r="B174" t="inlineStr">
        <is>
          <t>Ibarra</t>
        </is>
      </c>
      <c r="C174" t="inlineStr">
        <is>
          <t>Kinder Bueno</t>
        </is>
      </c>
      <c r="D174" s="4" t="n">
        <v>398.6</v>
      </c>
      <c r="E174" s="4" t="n">
        <v>531</v>
      </c>
      <c r="F174" s="4" t="n">
        <v>314</v>
      </c>
      <c r="G174" s="5">
        <f>IF(E174=0,"",D174/E174-1)</f>
        <v/>
      </c>
      <c r="H174">
        <f>IF(E174=0,IF(D174&gt;0,"Revisar",""),IF(ABS(G174)&gt;Parámetros!$B$3,"Revisar",""))</f>
        <v/>
      </c>
      <c r="I174" s="6">
        <f>INDEX(Desempeño!$C$4:$C$12,MATCH(C174,Desempeño!$A$4:$A$12,0))</f>
        <v/>
      </c>
      <c r="J174" s="4">
        <f>MAX(0,D174*(1-I174*Parámetros!$B$8))</f>
        <v/>
      </c>
      <c r="K174" s="4">
        <f>D174*(1+I174*Parámetros!$B$8)</f>
        <v/>
      </c>
      <c r="L174">
        <f>INDEX(Desempeño!$H$4:$H$12,MATCH(C174,Desempeño!$A$4:$A$12,0))</f>
        <v/>
      </c>
      <c r="M174">
        <f>INDEX(Desempeño!$G$4:$G$12,MATCH(C174,Desempeño!$A$4:$A$12,0))</f>
        <v/>
      </c>
      <c r="N174" s="7">
        <f>INDEX(Parámetros!$B$13:$B$21,MATCH(C174,Parámetros!$A$13:$A$21,0))</f>
        <v/>
      </c>
      <c r="O174" s="4">
        <f>D174*N174</f>
        <v/>
      </c>
    </row>
    <row r="175">
      <c r="A175" t="inlineStr">
        <is>
          <t>Noviembre 2026</t>
        </is>
      </c>
      <c r="B175" t="inlineStr">
        <is>
          <t>Ibarra</t>
        </is>
      </c>
      <c r="C175" t="inlineStr">
        <is>
          <t>Kinder Chocolate</t>
        </is>
      </c>
      <c r="D175" s="4" t="n">
        <v>90.59999999999999</v>
      </c>
      <c r="E175" s="4" t="n">
        <v>86</v>
      </c>
      <c r="F175" s="4" t="n">
        <v>53.3</v>
      </c>
      <c r="G175" s="5">
        <f>IF(E175=0,"",D175/E175-1)</f>
        <v/>
      </c>
      <c r="H175">
        <f>IF(E175=0,IF(D175&gt;0,"Revisar",""),IF(ABS(G175)&gt;Parámetros!$B$3,"Revisar",""))</f>
        <v/>
      </c>
      <c r="I175" s="6">
        <f>INDEX(Desempeño!$C$4:$C$12,MATCH(C175,Desempeño!$A$4:$A$12,0))</f>
        <v/>
      </c>
      <c r="J175" s="4">
        <f>MAX(0,D175*(1-I175*Parámetros!$B$8))</f>
        <v/>
      </c>
      <c r="K175" s="4">
        <f>D175*(1+I175*Parámetros!$B$8)</f>
        <v/>
      </c>
      <c r="L175">
        <f>INDEX(Desempeño!$H$4:$H$12,MATCH(C175,Desempeño!$A$4:$A$12,0))</f>
        <v/>
      </c>
      <c r="M175">
        <f>INDEX(Desempeño!$G$4:$G$12,MATCH(C175,Desempeño!$A$4:$A$12,0))</f>
        <v/>
      </c>
      <c r="N175" s="7">
        <f>INDEX(Parámetros!$B$13:$B$21,MATCH(C175,Parámetros!$A$13:$A$21,0))</f>
        <v/>
      </c>
      <c r="O175" s="4">
        <f>D175*N175</f>
        <v/>
      </c>
    </row>
    <row r="176">
      <c r="A176" t="inlineStr">
        <is>
          <t>Noviembre 2026</t>
        </is>
      </c>
      <c r="B176" t="inlineStr">
        <is>
          <t>Ibarra</t>
        </is>
      </c>
      <c r="C176" t="inlineStr">
        <is>
          <t>Kinder Joy</t>
        </is>
      </c>
      <c r="D176" s="4" t="n">
        <v>1025.4</v>
      </c>
      <c r="E176" s="4" t="n">
        <v>888</v>
      </c>
      <c r="F176" s="4" t="n">
        <v>999</v>
      </c>
      <c r="G176" s="5">
        <f>IF(E176=0,"",D176/E176-1)</f>
        <v/>
      </c>
      <c r="H176">
        <f>IF(E176=0,IF(D176&gt;0,"Revisar",""),IF(ABS(G176)&gt;Parámetros!$B$3,"Revisar",""))</f>
        <v/>
      </c>
      <c r="I176" s="6">
        <f>INDEX(Desempeño!$C$4:$C$12,MATCH(C176,Desempeño!$A$4:$A$12,0))</f>
        <v/>
      </c>
      <c r="J176" s="4">
        <f>MAX(0,D176*(1-I176*Parámetros!$B$8))</f>
        <v/>
      </c>
      <c r="K176" s="4">
        <f>D176*(1+I176*Parámetros!$B$8)</f>
        <v/>
      </c>
      <c r="L176">
        <f>INDEX(Desempeño!$H$4:$H$12,MATCH(C176,Desempeño!$A$4:$A$12,0))</f>
        <v/>
      </c>
      <c r="M176">
        <f>INDEX(Desempeño!$G$4:$G$12,MATCH(C176,Desempeño!$A$4:$A$12,0))</f>
        <v/>
      </c>
      <c r="N176" s="7">
        <f>INDEX(Parámetros!$B$13:$B$21,MATCH(C176,Parámetros!$A$13:$A$21,0))</f>
        <v/>
      </c>
      <c r="O176" s="4">
        <f>D176*N176</f>
        <v/>
      </c>
    </row>
    <row r="177">
      <c r="A177" t="inlineStr">
        <is>
          <t>Noviembre 2026</t>
        </is>
      </c>
      <c r="B177" t="inlineStr">
        <is>
          <t>Ibarra</t>
        </is>
      </c>
      <c r="C177" t="inlineStr">
        <is>
          <t>Noggy</t>
        </is>
      </c>
      <c r="D177" s="4" t="n">
        <v>917.5</v>
      </c>
      <c r="E177" s="4" t="n">
        <v>1178</v>
      </c>
      <c r="F177" s="4" t="n">
        <v>606.7</v>
      </c>
      <c r="G177" s="5">
        <f>IF(E177=0,"",D177/E177-1)</f>
        <v/>
      </c>
      <c r="H177">
        <f>IF(E177=0,IF(D177&gt;0,"Revisar",""),IF(ABS(G177)&gt;Parámetros!$B$3,"Revisar",""))</f>
        <v/>
      </c>
      <c r="I177" s="6">
        <f>INDEX(Desempeño!$C$4:$C$12,MATCH(C177,Desempeño!$A$4:$A$12,0))</f>
        <v/>
      </c>
      <c r="J177" s="4">
        <f>MAX(0,D177*(1-I177*Parámetros!$B$8))</f>
        <v/>
      </c>
      <c r="K177" s="4">
        <f>D177*(1+I177*Parámetros!$B$8)</f>
        <v/>
      </c>
      <c r="L177">
        <f>INDEX(Desempeño!$H$4:$H$12,MATCH(C177,Desempeño!$A$4:$A$12,0))</f>
        <v/>
      </c>
      <c r="M177">
        <f>INDEX(Desempeño!$G$4:$G$12,MATCH(C177,Desempeño!$A$4:$A$12,0))</f>
        <v/>
      </c>
      <c r="N177" s="7">
        <f>INDEX(Parámetros!$B$13:$B$21,MATCH(C177,Parámetros!$A$13:$A$21,0))</f>
        <v/>
      </c>
      <c r="O177" s="4">
        <f>D177*N177</f>
        <v/>
      </c>
    </row>
    <row r="178">
      <c r="A178" t="inlineStr">
        <is>
          <t>Noviembre 2026</t>
        </is>
      </c>
      <c r="B178" t="inlineStr">
        <is>
          <t>Ibarra</t>
        </is>
      </c>
      <c r="C178" t="inlineStr">
        <is>
          <t>Nutella</t>
        </is>
      </c>
      <c r="D178" s="4" t="n">
        <v>826</v>
      </c>
      <c r="E178" s="4" t="n">
        <v>790</v>
      </c>
      <c r="F178" s="4" t="n">
        <v>790.3</v>
      </c>
      <c r="G178" s="5">
        <f>IF(E178=0,"",D178/E178-1)</f>
        <v/>
      </c>
      <c r="H178">
        <f>IF(E178=0,IF(D178&gt;0,"Revisar",""),IF(ABS(G178)&gt;Parámetros!$B$3,"Revisar",""))</f>
        <v/>
      </c>
      <c r="I178" s="6">
        <f>INDEX(Desempeño!$C$4:$C$12,MATCH(C178,Desempeño!$A$4:$A$12,0))</f>
        <v/>
      </c>
      <c r="J178" s="4">
        <f>MAX(0,D178*(1-I178*Parámetros!$B$8))</f>
        <v/>
      </c>
      <c r="K178" s="4">
        <f>D178*(1+I178*Parámetros!$B$8)</f>
        <v/>
      </c>
      <c r="L178">
        <f>INDEX(Desempeño!$H$4:$H$12,MATCH(C178,Desempeño!$A$4:$A$12,0))</f>
        <v/>
      </c>
      <c r="M178">
        <f>INDEX(Desempeño!$G$4:$G$12,MATCH(C178,Desempeño!$A$4:$A$12,0))</f>
        <v/>
      </c>
      <c r="N178" s="7">
        <f>INDEX(Parámetros!$B$13:$B$21,MATCH(C178,Parámetros!$A$13:$A$21,0))</f>
        <v/>
      </c>
      <c r="O178" s="4">
        <f>D178*N178</f>
        <v/>
      </c>
    </row>
    <row r="179">
      <c r="A179" t="inlineStr">
        <is>
          <t>Noviembre 2026</t>
        </is>
      </c>
      <c r="B179" t="inlineStr">
        <is>
          <t>Ibarra</t>
        </is>
      </c>
      <c r="C179" t="inlineStr">
        <is>
          <t>Raffaello</t>
        </is>
      </c>
      <c r="D179" s="4" t="n">
        <v>359.5</v>
      </c>
      <c r="E179" s="4" t="n">
        <v>437</v>
      </c>
      <c r="F179" s="4" t="n">
        <v>291.3</v>
      </c>
      <c r="G179" s="5">
        <f>IF(E179=0,"",D179/E179-1)</f>
        <v/>
      </c>
      <c r="H179">
        <f>IF(E179=0,IF(D179&gt;0,"Revisar",""),IF(ABS(G179)&gt;Parámetros!$B$3,"Revisar",""))</f>
        <v/>
      </c>
      <c r="I179" s="6">
        <f>INDEX(Desempeño!$C$4:$C$12,MATCH(C179,Desempeño!$A$4:$A$12,0))</f>
        <v/>
      </c>
      <c r="J179" s="4">
        <f>MAX(0,D179*(1-I179*Parámetros!$B$8))</f>
        <v/>
      </c>
      <c r="K179" s="4">
        <f>D179*(1+I179*Parámetros!$B$8)</f>
        <v/>
      </c>
      <c r="L179">
        <f>INDEX(Desempeño!$H$4:$H$12,MATCH(C179,Desempeño!$A$4:$A$12,0))</f>
        <v/>
      </c>
      <c r="M179">
        <f>INDEX(Desempeño!$G$4:$G$12,MATCH(C179,Desempeño!$A$4:$A$12,0))</f>
        <v/>
      </c>
      <c r="N179" s="7">
        <f>INDEX(Parámetros!$B$13:$B$21,MATCH(C179,Parámetros!$A$13:$A$21,0))</f>
        <v/>
      </c>
      <c r="O179" s="4">
        <f>D179*N179</f>
        <v/>
      </c>
    </row>
    <row r="180">
      <c r="A180" t="inlineStr">
        <is>
          <t>Noviembre 2026</t>
        </is>
      </c>
      <c r="B180" t="inlineStr">
        <is>
          <t>Ibarra</t>
        </is>
      </c>
      <c r="C180" t="inlineStr">
        <is>
          <t>Rocher</t>
        </is>
      </c>
      <c r="D180" s="4" t="n">
        <v>1232.1</v>
      </c>
      <c r="E180" s="4" t="n">
        <v>1592</v>
      </c>
      <c r="F180" s="4" t="n">
        <v>770.3</v>
      </c>
      <c r="G180" s="5">
        <f>IF(E180=0,"",D180/E180-1)</f>
        <v/>
      </c>
      <c r="H180">
        <f>IF(E180=0,IF(D180&gt;0,"Revisar",""),IF(ABS(G180)&gt;Parámetros!$B$3,"Revisar",""))</f>
        <v/>
      </c>
      <c r="I180" s="6">
        <f>INDEX(Desempeño!$C$4:$C$12,MATCH(C180,Desempeño!$A$4:$A$12,0))</f>
        <v/>
      </c>
      <c r="J180" s="4">
        <f>MAX(0,D180*(1-I180*Parámetros!$B$8))</f>
        <v/>
      </c>
      <c r="K180" s="4">
        <f>D180*(1+I180*Parámetros!$B$8)</f>
        <v/>
      </c>
      <c r="L180">
        <f>INDEX(Desempeño!$H$4:$H$12,MATCH(C180,Desempeño!$A$4:$A$12,0))</f>
        <v/>
      </c>
      <c r="M180">
        <f>INDEX(Desempeño!$G$4:$G$12,MATCH(C180,Desempeño!$A$4:$A$12,0))</f>
        <v/>
      </c>
      <c r="N180" s="7">
        <f>INDEX(Parámetros!$B$13:$B$21,MATCH(C180,Parámetros!$A$13:$A$21,0))</f>
        <v/>
      </c>
      <c r="O180" s="4">
        <f>D180*N180</f>
        <v/>
      </c>
    </row>
    <row r="181">
      <c r="A181" t="inlineStr">
        <is>
          <t>Noviembre 2026</t>
        </is>
      </c>
      <c r="B181" t="inlineStr">
        <is>
          <t>Ibarra</t>
        </is>
      </c>
      <c r="C181" t="inlineStr">
        <is>
          <t>Tic Tac</t>
        </is>
      </c>
      <c r="D181" s="4" t="n">
        <v>353.1</v>
      </c>
      <c r="E181" s="4" t="n">
        <v>170</v>
      </c>
      <c r="F181" s="4" t="n">
        <v>338.7</v>
      </c>
      <c r="G181" s="5">
        <f>IF(E181=0,"",D181/E181-1)</f>
        <v/>
      </c>
      <c r="H181">
        <f>IF(E181=0,IF(D181&gt;0,"Revisar",""),IF(ABS(G181)&gt;Parámetros!$B$3,"Revisar",""))</f>
        <v/>
      </c>
      <c r="I181" s="6">
        <f>INDEX(Desempeño!$C$4:$C$12,MATCH(C181,Desempeño!$A$4:$A$12,0))</f>
        <v/>
      </c>
      <c r="J181" s="4">
        <f>MAX(0,D181*(1-I181*Parámetros!$B$8))</f>
        <v/>
      </c>
      <c r="K181" s="4">
        <f>D181*(1+I181*Parámetros!$B$8)</f>
        <v/>
      </c>
      <c r="L181">
        <f>INDEX(Desempeño!$H$4:$H$12,MATCH(C181,Desempeño!$A$4:$A$12,0))</f>
        <v/>
      </c>
      <c r="M181">
        <f>INDEX(Desempeño!$G$4:$G$12,MATCH(C181,Desempeño!$A$4:$A$12,0))</f>
        <v/>
      </c>
      <c r="N181" s="7">
        <f>INDEX(Parámetros!$B$13:$B$21,MATCH(C181,Parámetros!$A$13:$A$21,0))</f>
        <v/>
      </c>
      <c r="O181" s="4">
        <f>D181*N181</f>
        <v/>
      </c>
    </row>
    <row r="182">
      <c r="A182" t="inlineStr">
        <is>
          <t>Noviembre 2026</t>
        </is>
      </c>
      <c r="B182" t="inlineStr">
        <is>
          <t>Lago Agrio</t>
        </is>
      </c>
      <c r="C182" t="inlineStr">
        <is>
          <t>Hanuta</t>
        </is>
      </c>
      <c r="D182" s="4" t="n">
        <v>213.3</v>
      </c>
      <c r="E182" s="4" t="n">
        <v>183</v>
      </c>
      <c r="F182" s="4" t="n">
        <v>183</v>
      </c>
      <c r="G182" s="5">
        <f>IF(E182=0,"",D182/E182-1)</f>
        <v/>
      </c>
      <c r="H182">
        <f>IF(E182=0,IF(D182&gt;0,"Revisar",""),IF(ABS(G182)&gt;Parámetros!$B$3,"Revisar",""))</f>
        <v/>
      </c>
      <c r="I182" s="6">
        <f>INDEX(Desempeño!$C$4:$C$12,MATCH(C182,Desempeño!$A$4:$A$12,0))</f>
        <v/>
      </c>
      <c r="J182" s="4">
        <f>MAX(0,D182*(1-I182*Parámetros!$B$8))</f>
        <v/>
      </c>
      <c r="K182" s="4">
        <f>D182*(1+I182*Parámetros!$B$8)</f>
        <v/>
      </c>
      <c r="L182">
        <f>INDEX(Desempeño!$H$4:$H$12,MATCH(C182,Desempeño!$A$4:$A$12,0))</f>
        <v/>
      </c>
      <c r="M182">
        <f>INDEX(Desempeño!$G$4:$G$12,MATCH(C182,Desempeño!$A$4:$A$12,0))</f>
        <v/>
      </c>
      <c r="N182" s="7">
        <f>INDEX(Parámetros!$B$13:$B$21,MATCH(C182,Parámetros!$A$13:$A$21,0))</f>
        <v/>
      </c>
      <c r="O182" s="4">
        <f>D182*N182</f>
        <v/>
      </c>
    </row>
    <row r="183">
      <c r="A183" t="inlineStr">
        <is>
          <t>Noviembre 2026</t>
        </is>
      </c>
      <c r="B183" t="inlineStr">
        <is>
          <t>Lago Agrio</t>
        </is>
      </c>
      <c r="C183" t="inlineStr">
        <is>
          <t>Kinder Bueno</t>
        </is>
      </c>
      <c r="D183" s="4" t="n">
        <v>165</v>
      </c>
      <c r="E183" s="4" t="n">
        <v>165</v>
      </c>
      <c r="F183" s="4" t="n">
        <v>121.3</v>
      </c>
      <c r="G183" s="5">
        <f>IF(E183=0,"",D183/E183-1)</f>
        <v/>
      </c>
      <c r="H183">
        <f>IF(E183=0,IF(D183&gt;0,"Revisar",""),IF(ABS(G183)&gt;Parámetros!$B$3,"Revisar",""))</f>
        <v/>
      </c>
      <c r="I183" s="6">
        <f>INDEX(Desempeño!$C$4:$C$12,MATCH(C183,Desempeño!$A$4:$A$12,0))</f>
        <v/>
      </c>
      <c r="J183" s="4">
        <f>MAX(0,D183*(1-I183*Parámetros!$B$8))</f>
        <v/>
      </c>
      <c r="K183" s="4">
        <f>D183*(1+I183*Parámetros!$B$8)</f>
        <v/>
      </c>
      <c r="L183">
        <f>INDEX(Desempeño!$H$4:$H$12,MATCH(C183,Desempeño!$A$4:$A$12,0))</f>
        <v/>
      </c>
      <c r="M183">
        <f>INDEX(Desempeño!$G$4:$G$12,MATCH(C183,Desempeño!$A$4:$A$12,0))</f>
        <v/>
      </c>
      <c r="N183" s="7">
        <f>INDEX(Parámetros!$B$13:$B$21,MATCH(C183,Parámetros!$A$13:$A$21,0))</f>
        <v/>
      </c>
      <c r="O183" s="4">
        <f>D183*N183</f>
        <v/>
      </c>
    </row>
    <row r="184">
      <c r="A184" t="inlineStr">
        <is>
          <t>Noviembre 2026</t>
        </is>
      </c>
      <c r="B184" t="inlineStr">
        <is>
          <t>Lago Agrio</t>
        </is>
      </c>
      <c r="C184" t="inlineStr">
        <is>
          <t>Kinder Chocolate</t>
        </is>
      </c>
      <c r="D184" s="4" t="n">
        <v>48.5</v>
      </c>
      <c r="E184" s="4" t="n">
        <v>15</v>
      </c>
      <c r="F184" s="4" t="n">
        <v>12.3</v>
      </c>
      <c r="G184" s="5">
        <f>IF(E184=0,"",D184/E184-1)</f>
        <v/>
      </c>
      <c r="H184">
        <f>IF(E184=0,IF(D184&gt;0,"Revisar",""),IF(ABS(G184)&gt;Parámetros!$B$3,"Revisar",""))</f>
        <v/>
      </c>
      <c r="I184" s="6">
        <f>INDEX(Desempeño!$C$4:$C$12,MATCH(C184,Desempeño!$A$4:$A$12,0))</f>
        <v/>
      </c>
      <c r="J184" s="4">
        <f>MAX(0,D184*(1-I184*Parámetros!$B$8))</f>
        <v/>
      </c>
      <c r="K184" s="4">
        <f>D184*(1+I184*Parámetros!$B$8)</f>
        <v/>
      </c>
      <c r="L184">
        <f>INDEX(Desempeño!$H$4:$H$12,MATCH(C184,Desempeño!$A$4:$A$12,0))</f>
        <v/>
      </c>
      <c r="M184">
        <f>INDEX(Desempeño!$G$4:$G$12,MATCH(C184,Desempeño!$A$4:$A$12,0))</f>
        <v/>
      </c>
      <c r="N184" s="7">
        <f>INDEX(Parámetros!$B$13:$B$21,MATCH(C184,Parámetros!$A$13:$A$21,0))</f>
        <v/>
      </c>
      <c r="O184" s="4">
        <f>D184*N184</f>
        <v/>
      </c>
    </row>
    <row r="185">
      <c r="A185" t="inlineStr">
        <is>
          <t>Noviembre 2026</t>
        </is>
      </c>
      <c r="B185" t="inlineStr">
        <is>
          <t>Lago Agrio</t>
        </is>
      </c>
      <c r="C185" t="inlineStr">
        <is>
          <t>Kinder Joy</t>
        </is>
      </c>
      <c r="D185" s="4" t="n">
        <v>1450.4</v>
      </c>
      <c r="E185" s="4" t="n">
        <v>1022</v>
      </c>
      <c r="F185" s="4" t="n">
        <v>1452.3</v>
      </c>
      <c r="G185" s="5">
        <f>IF(E185=0,"",D185/E185-1)</f>
        <v/>
      </c>
      <c r="H185">
        <f>IF(E185=0,IF(D185&gt;0,"Revisar",""),IF(ABS(G185)&gt;Parámetros!$B$3,"Revisar",""))</f>
        <v/>
      </c>
      <c r="I185" s="6">
        <f>INDEX(Desempeño!$C$4:$C$12,MATCH(C185,Desempeño!$A$4:$A$12,0))</f>
        <v/>
      </c>
      <c r="J185" s="4">
        <f>MAX(0,D185*(1-I185*Parámetros!$B$8))</f>
        <v/>
      </c>
      <c r="K185" s="4">
        <f>D185*(1+I185*Parámetros!$B$8)</f>
        <v/>
      </c>
      <c r="L185">
        <f>INDEX(Desempeño!$H$4:$H$12,MATCH(C185,Desempeño!$A$4:$A$12,0))</f>
        <v/>
      </c>
      <c r="M185">
        <f>INDEX(Desempeño!$G$4:$G$12,MATCH(C185,Desempeño!$A$4:$A$12,0))</f>
        <v/>
      </c>
      <c r="N185" s="7">
        <f>INDEX(Parámetros!$B$13:$B$21,MATCH(C185,Parámetros!$A$13:$A$21,0))</f>
        <v/>
      </c>
      <c r="O185" s="4">
        <f>D185*N185</f>
        <v/>
      </c>
    </row>
    <row r="186">
      <c r="A186" t="inlineStr">
        <is>
          <t>Noviembre 2026</t>
        </is>
      </c>
      <c r="B186" t="inlineStr">
        <is>
          <t>Lago Agrio</t>
        </is>
      </c>
      <c r="C186" t="inlineStr">
        <is>
          <t>Noggy</t>
        </is>
      </c>
      <c r="D186" s="4" t="n">
        <v>617.7</v>
      </c>
      <c r="E186" s="4" t="n">
        <v>908</v>
      </c>
      <c r="F186" s="4" t="n">
        <v>501.3</v>
      </c>
      <c r="G186" s="5">
        <f>IF(E186=0,"",D186/E186-1)</f>
        <v/>
      </c>
      <c r="H186">
        <f>IF(E186=0,IF(D186&gt;0,"Revisar",""),IF(ABS(G186)&gt;Parámetros!$B$3,"Revisar",""))</f>
        <v/>
      </c>
      <c r="I186" s="6">
        <f>INDEX(Desempeño!$C$4:$C$12,MATCH(C186,Desempeño!$A$4:$A$12,0))</f>
        <v/>
      </c>
      <c r="J186" s="4">
        <f>MAX(0,D186*(1-I186*Parámetros!$B$8))</f>
        <v/>
      </c>
      <c r="K186" s="4">
        <f>D186*(1+I186*Parámetros!$B$8)</f>
        <v/>
      </c>
      <c r="L186">
        <f>INDEX(Desempeño!$H$4:$H$12,MATCH(C186,Desempeño!$A$4:$A$12,0))</f>
        <v/>
      </c>
      <c r="M186">
        <f>INDEX(Desempeño!$G$4:$G$12,MATCH(C186,Desempeño!$A$4:$A$12,0))</f>
        <v/>
      </c>
      <c r="N186" s="7">
        <f>INDEX(Parámetros!$B$13:$B$21,MATCH(C186,Parámetros!$A$13:$A$21,0))</f>
        <v/>
      </c>
      <c r="O186" s="4">
        <f>D186*N186</f>
        <v/>
      </c>
    </row>
    <row r="187">
      <c r="A187" t="inlineStr">
        <is>
          <t>Noviembre 2026</t>
        </is>
      </c>
      <c r="B187" t="inlineStr">
        <is>
          <t>Lago Agrio</t>
        </is>
      </c>
      <c r="C187" t="inlineStr">
        <is>
          <t>Nutella</t>
        </is>
      </c>
      <c r="D187" s="4" t="n">
        <v>1748.9</v>
      </c>
      <c r="E187" s="4" t="n">
        <v>1015</v>
      </c>
      <c r="F187" s="4" t="n">
        <v>1772.7</v>
      </c>
      <c r="G187" s="5">
        <f>IF(E187=0,"",D187/E187-1)</f>
        <v/>
      </c>
      <c r="H187">
        <f>IF(E187=0,IF(D187&gt;0,"Revisar",""),IF(ABS(G187)&gt;Parámetros!$B$3,"Revisar",""))</f>
        <v/>
      </c>
      <c r="I187" s="6">
        <f>INDEX(Desempeño!$C$4:$C$12,MATCH(C187,Desempeño!$A$4:$A$12,0))</f>
        <v/>
      </c>
      <c r="J187" s="4">
        <f>MAX(0,D187*(1-I187*Parámetros!$B$8))</f>
        <v/>
      </c>
      <c r="K187" s="4">
        <f>D187*(1+I187*Parámetros!$B$8)</f>
        <v/>
      </c>
      <c r="L187">
        <f>INDEX(Desempeño!$H$4:$H$12,MATCH(C187,Desempeño!$A$4:$A$12,0))</f>
        <v/>
      </c>
      <c r="M187">
        <f>INDEX(Desempeño!$G$4:$G$12,MATCH(C187,Desempeño!$A$4:$A$12,0))</f>
        <v/>
      </c>
      <c r="N187" s="7">
        <f>INDEX(Parámetros!$B$13:$B$21,MATCH(C187,Parámetros!$A$13:$A$21,0))</f>
        <v/>
      </c>
      <c r="O187" s="4">
        <f>D187*N187</f>
        <v/>
      </c>
    </row>
    <row r="188">
      <c r="A188" t="inlineStr">
        <is>
          <t>Noviembre 2026</t>
        </is>
      </c>
      <c r="B188" t="inlineStr">
        <is>
          <t>Lago Agrio</t>
        </is>
      </c>
      <c r="C188" t="inlineStr">
        <is>
          <t>Raffaello</t>
        </is>
      </c>
      <c r="D188" s="4" t="n">
        <v>159.1</v>
      </c>
      <c r="E188" s="4" t="n">
        <v>174</v>
      </c>
      <c r="F188" s="4" t="n">
        <v>126.3</v>
      </c>
      <c r="G188" s="5">
        <f>IF(E188=0,"",D188/E188-1)</f>
        <v/>
      </c>
      <c r="H188">
        <f>IF(E188=0,IF(D188&gt;0,"Revisar",""),IF(ABS(G188)&gt;Parámetros!$B$3,"Revisar",""))</f>
        <v/>
      </c>
      <c r="I188" s="6">
        <f>INDEX(Desempeño!$C$4:$C$12,MATCH(C188,Desempeño!$A$4:$A$12,0))</f>
        <v/>
      </c>
      <c r="J188" s="4">
        <f>MAX(0,D188*(1-I188*Parámetros!$B$8))</f>
        <v/>
      </c>
      <c r="K188" s="4">
        <f>D188*(1+I188*Parámetros!$B$8)</f>
        <v/>
      </c>
      <c r="L188">
        <f>INDEX(Desempeño!$H$4:$H$12,MATCH(C188,Desempeño!$A$4:$A$12,0))</f>
        <v/>
      </c>
      <c r="M188">
        <f>INDEX(Desempeño!$G$4:$G$12,MATCH(C188,Desempeño!$A$4:$A$12,0))</f>
        <v/>
      </c>
      <c r="N188" s="7">
        <f>INDEX(Parámetros!$B$13:$B$21,MATCH(C188,Parámetros!$A$13:$A$21,0))</f>
        <v/>
      </c>
      <c r="O188" s="4">
        <f>D188*N188</f>
        <v/>
      </c>
    </row>
    <row r="189">
      <c r="A189" t="inlineStr">
        <is>
          <t>Noviembre 2026</t>
        </is>
      </c>
      <c r="B189" t="inlineStr">
        <is>
          <t>Lago Agrio</t>
        </is>
      </c>
      <c r="C189" t="inlineStr">
        <is>
          <t>Rocher</t>
        </is>
      </c>
      <c r="D189" s="4" t="n">
        <v>1435.1</v>
      </c>
      <c r="E189" s="4" t="n">
        <v>1675</v>
      </c>
      <c r="F189" s="4" t="n">
        <v>1083</v>
      </c>
      <c r="G189" s="5">
        <f>IF(E189=0,"",D189/E189-1)</f>
        <v/>
      </c>
      <c r="H189">
        <f>IF(E189=0,IF(D189&gt;0,"Revisar",""),IF(ABS(G189)&gt;Parámetros!$B$3,"Revisar",""))</f>
        <v/>
      </c>
      <c r="I189" s="6">
        <f>INDEX(Desempeño!$C$4:$C$12,MATCH(C189,Desempeño!$A$4:$A$12,0))</f>
        <v/>
      </c>
      <c r="J189" s="4">
        <f>MAX(0,D189*(1-I189*Parámetros!$B$8))</f>
        <v/>
      </c>
      <c r="K189" s="4">
        <f>D189*(1+I189*Parámetros!$B$8)</f>
        <v/>
      </c>
      <c r="L189">
        <f>INDEX(Desempeño!$H$4:$H$12,MATCH(C189,Desempeño!$A$4:$A$12,0))</f>
        <v/>
      </c>
      <c r="M189">
        <f>INDEX(Desempeño!$G$4:$G$12,MATCH(C189,Desempeño!$A$4:$A$12,0))</f>
        <v/>
      </c>
      <c r="N189" s="7">
        <f>INDEX(Parámetros!$B$13:$B$21,MATCH(C189,Parámetros!$A$13:$A$21,0))</f>
        <v/>
      </c>
      <c r="O189" s="4">
        <f>D189*N189</f>
        <v/>
      </c>
    </row>
    <row r="190">
      <c r="A190" t="inlineStr">
        <is>
          <t>Noviembre 2026</t>
        </is>
      </c>
      <c r="B190" t="inlineStr">
        <is>
          <t>Lago Agrio</t>
        </is>
      </c>
      <c r="C190" t="inlineStr">
        <is>
          <t>Tic Tac</t>
        </is>
      </c>
      <c r="D190" s="4" t="n">
        <v>452.5</v>
      </c>
      <c r="E190" s="4" t="n">
        <v>397</v>
      </c>
      <c r="F190" s="4" t="n">
        <v>365.3</v>
      </c>
      <c r="G190" s="5">
        <f>IF(E190=0,"",D190/E190-1)</f>
        <v/>
      </c>
      <c r="H190">
        <f>IF(E190=0,IF(D190&gt;0,"Revisar",""),IF(ABS(G190)&gt;Parámetros!$B$3,"Revisar",""))</f>
        <v/>
      </c>
      <c r="I190" s="6">
        <f>INDEX(Desempeño!$C$4:$C$12,MATCH(C190,Desempeño!$A$4:$A$12,0))</f>
        <v/>
      </c>
      <c r="J190" s="4">
        <f>MAX(0,D190*(1-I190*Parámetros!$B$8))</f>
        <v/>
      </c>
      <c r="K190" s="4">
        <f>D190*(1+I190*Parámetros!$B$8)</f>
        <v/>
      </c>
      <c r="L190">
        <f>INDEX(Desempeño!$H$4:$H$12,MATCH(C190,Desempeño!$A$4:$A$12,0))</f>
        <v/>
      </c>
      <c r="M190">
        <f>INDEX(Desempeño!$G$4:$G$12,MATCH(C190,Desempeño!$A$4:$A$12,0))</f>
        <v/>
      </c>
      <c r="N190" s="7">
        <f>INDEX(Parámetros!$B$13:$B$21,MATCH(C190,Parámetros!$A$13:$A$21,0))</f>
        <v/>
      </c>
      <c r="O190" s="4">
        <f>D190*N190</f>
        <v/>
      </c>
    </row>
    <row r="191">
      <c r="A191" t="inlineStr">
        <is>
          <t>Noviembre 2026</t>
        </is>
      </c>
      <c r="B191" t="inlineStr">
        <is>
          <t>Manta</t>
        </is>
      </c>
      <c r="C191" t="inlineStr">
        <is>
          <t>Hanuta</t>
        </is>
      </c>
      <c r="D191" s="4" t="n">
        <v>347.3</v>
      </c>
      <c r="E191" s="4" t="n">
        <v>446</v>
      </c>
      <c r="F191" s="4" t="n">
        <v>296.7</v>
      </c>
      <c r="G191" s="5">
        <f>IF(E191=0,"",D191/E191-1)</f>
        <v/>
      </c>
      <c r="H191">
        <f>IF(E191=0,IF(D191&gt;0,"Revisar",""),IF(ABS(G191)&gt;Parámetros!$B$3,"Revisar",""))</f>
        <v/>
      </c>
      <c r="I191" s="6">
        <f>INDEX(Desempeño!$C$4:$C$12,MATCH(C191,Desempeño!$A$4:$A$12,0))</f>
        <v/>
      </c>
      <c r="J191" s="4">
        <f>MAX(0,D191*(1-I191*Parámetros!$B$8))</f>
        <v/>
      </c>
      <c r="K191" s="4">
        <f>D191*(1+I191*Parámetros!$B$8)</f>
        <v/>
      </c>
      <c r="L191">
        <f>INDEX(Desempeño!$H$4:$H$12,MATCH(C191,Desempeño!$A$4:$A$12,0))</f>
        <v/>
      </c>
      <c r="M191">
        <f>INDEX(Desempeño!$G$4:$G$12,MATCH(C191,Desempeño!$A$4:$A$12,0))</f>
        <v/>
      </c>
      <c r="N191" s="7">
        <f>INDEX(Parámetros!$B$13:$B$21,MATCH(C191,Parámetros!$A$13:$A$21,0))</f>
        <v/>
      </c>
      <c r="O191" s="4">
        <f>D191*N191</f>
        <v/>
      </c>
    </row>
    <row r="192">
      <c r="A192" t="inlineStr">
        <is>
          <t>Noviembre 2026</t>
        </is>
      </c>
      <c r="B192" t="inlineStr">
        <is>
          <t>Manta</t>
        </is>
      </c>
      <c r="C192" t="inlineStr">
        <is>
          <t>Kinder Bueno</t>
        </is>
      </c>
      <c r="D192" s="4" t="n">
        <v>304.9</v>
      </c>
      <c r="E192" s="4" t="n">
        <v>104</v>
      </c>
      <c r="F192" s="4" t="n">
        <v>280</v>
      </c>
      <c r="G192" s="5">
        <f>IF(E192=0,"",D192/E192-1)</f>
        <v/>
      </c>
      <c r="H192">
        <f>IF(E192=0,IF(D192&gt;0,"Revisar",""),IF(ABS(G192)&gt;Parámetros!$B$3,"Revisar",""))</f>
        <v/>
      </c>
      <c r="I192" s="6">
        <f>INDEX(Desempeño!$C$4:$C$12,MATCH(C192,Desempeño!$A$4:$A$12,0))</f>
        <v/>
      </c>
      <c r="J192" s="4">
        <f>MAX(0,D192*(1-I192*Parámetros!$B$8))</f>
        <v/>
      </c>
      <c r="K192" s="4">
        <f>D192*(1+I192*Parámetros!$B$8)</f>
        <v/>
      </c>
      <c r="L192">
        <f>INDEX(Desempeño!$H$4:$H$12,MATCH(C192,Desempeño!$A$4:$A$12,0))</f>
        <v/>
      </c>
      <c r="M192">
        <f>INDEX(Desempeño!$G$4:$G$12,MATCH(C192,Desempeño!$A$4:$A$12,0))</f>
        <v/>
      </c>
      <c r="N192" s="7">
        <f>INDEX(Parámetros!$B$13:$B$21,MATCH(C192,Parámetros!$A$13:$A$21,0))</f>
        <v/>
      </c>
      <c r="O192" s="4">
        <f>D192*N192</f>
        <v/>
      </c>
    </row>
    <row r="193">
      <c r="A193" t="inlineStr">
        <is>
          <t>Noviembre 2026</t>
        </is>
      </c>
      <c r="B193" t="inlineStr">
        <is>
          <t>Manta</t>
        </is>
      </c>
      <c r="C193" t="inlineStr">
        <is>
          <t>Kinder Chocolate</t>
        </is>
      </c>
      <c r="D193" s="4" t="n">
        <v>49.9</v>
      </c>
      <c r="E193" s="4" t="n">
        <v>11</v>
      </c>
      <c r="F193" s="4" t="n">
        <v>26.7</v>
      </c>
      <c r="G193" s="5">
        <f>IF(E193=0,"",D193/E193-1)</f>
        <v/>
      </c>
      <c r="H193">
        <f>IF(E193=0,IF(D193&gt;0,"Revisar",""),IF(ABS(G193)&gt;Parámetros!$B$3,"Revisar",""))</f>
        <v/>
      </c>
      <c r="I193" s="6">
        <f>INDEX(Desempeño!$C$4:$C$12,MATCH(C193,Desempeño!$A$4:$A$12,0))</f>
        <v/>
      </c>
      <c r="J193" s="4">
        <f>MAX(0,D193*(1-I193*Parámetros!$B$8))</f>
        <v/>
      </c>
      <c r="K193" s="4">
        <f>D193*(1+I193*Parámetros!$B$8)</f>
        <v/>
      </c>
      <c r="L193">
        <f>INDEX(Desempeño!$H$4:$H$12,MATCH(C193,Desempeño!$A$4:$A$12,0))</f>
        <v/>
      </c>
      <c r="M193">
        <f>INDEX(Desempeño!$G$4:$G$12,MATCH(C193,Desempeño!$A$4:$A$12,0))</f>
        <v/>
      </c>
      <c r="N193" s="7">
        <f>INDEX(Parámetros!$B$13:$B$21,MATCH(C193,Parámetros!$A$13:$A$21,0))</f>
        <v/>
      </c>
      <c r="O193" s="4">
        <f>D193*N193</f>
        <v/>
      </c>
    </row>
    <row r="194">
      <c r="A194" t="inlineStr">
        <is>
          <t>Noviembre 2026</t>
        </is>
      </c>
      <c r="B194" t="inlineStr">
        <is>
          <t>Manta</t>
        </is>
      </c>
      <c r="C194" t="inlineStr">
        <is>
          <t>Kinder Joy</t>
        </is>
      </c>
      <c r="D194" s="4" t="n">
        <v>1609.1</v>
      </c>
      <c r="E194" s="4" t="n">
        <v>1964</v>
      </c>
      <c r="F194" s="4" t="n">
        <v>1361.3</v>
      </c>
      <c r="G194" s="5">
        <f>IF(E194=0,"",D194/E194-1)</f>
        <v/>
      </c>
      <c r="H194">
        <f>IF(E194=0,IF(D194&gt;0,"Revisar",""),IF(ABS(G194)&gt;Parámetros!$B$3,"Revisar",""))</f>
        <v/>
      </c>
      <c r="I194" s="6">
        <f>INDEX(Desempeño!$C$4:$C$12,MATCH(C194,Desempeño!$A$4:$A$12,0))</f>
        <v/>
      </c>
      <c r="J194" s="4">
        <f>MAX(0,D194*(1-I194*Parámetros!$B$8))</f>
        <v/>
      </c>
      <c r="K194" s="4">
        <f>D194*(1+I194*Parámetros!$B$8)</f>
        <v/>
      </c>
      <c r="L194">
        <f>INDEX(Desempeño!$H$4:$H$12,MATCH(C194,Desempeño!$A$4:$A$12,0))</f>
        <v/>
      </c>
      <c r="M194">
        <f>INDEX(Desempeño!$G$4:$G$12,MATCH(C194,Desempeño!$A$4:$A$12,0))</f>
        <v/>
      </c>
      <c r="N194" s="7">
        <f>INDEX(Parámetros!$B$13:$B$21,MATCH(C194,Parámetros!$A$13:$A$21,0))</f>
        <v/>
      </c>
      <c r="O194" s="4">
        <f>D194*N194</f>
        <v/>
      </c>
    </row>
    <row r="195">
      <c r="A195" t="inlineStr">
        <is>
          <t>Noviembre 2026</t>
        </is>
      </c>
      <c r="B195" t="inlineStr">
        <is>
          <t>Manta</t>
        </is>
      </c>
      <c r="C195" t="inlineStr">
        <is>
          <t>Noggy</t>
        </is>
      </c>
      <c r="D195" s="4" t="n">
        <v>807.8</v>
      </c>
      <c r="E195" s="4" t="n">
        <v>921</v>
      </c>
      <c r="F195" s="4" t="n">
        <v>496</v>
      </c>
      <c r="G195" s="5">
        <f>IF(E195=0,"",D195/E195-1)</f>
        <v/>
      </c>
      <c r="H195">
        <f>IF(E195=0,IF(D195&gt;0,"Revisar",""),IF(ABS(G195)&gt;Parámetros!$B$3,"Revisar",""))</f>
        <v/>
      </c>
      <c r="I195" s="6">
        <f>INDEX(Desempeño!$C$4:$C$12,MATCH(C195,Desempeño!$A$4:$A$12,0))</f>
        <v/>
      </c>
      <c r="J195" s="4">
        <f>MAX(0,D195*(1-I195*Parámetros!$B$8))</f>
        <v/>
      </c>
      <c r="K195" s="4">
        <f>D195*(1+I195*Parámetros!$B$8)</f>
        <v/>
      </c>
      <c r="L195">
        <f>INDEX(Desempeño!$H$4:$H$12,MATCH(C195,Desempeño!$A$4:$A$12,0))</f>
        <v/>
      </c>
      <c r="M195">
        <f>INDEX(Desempeño!$G$4:$G$12,MATCH(C195,Desempeño!$A$4:$A$12,0))</f>
        <v/>
      </c>
      <c r="N195" s="7">
        <f>INDEX(Parámetros!$B$13:$B$21,MATCH(C195,Parámetros!$A$13:$A$21,0))</f>
        <v/>
      </c>
      <c r="O195" s="4">
        <f>D195*N195</f>
        <v/>
      </c>
    </row>
    <row r="196">
      <c r="A196" t="inlineStr">
        <is>
          <t>Noviembre 2026</t>
        </is>
      </c>
      <c r="B196" t="inlineStr">
        <is>
          <t>Manta</t>
        </is>
      </c>
      <c r="C196" t="inlineStr">
        <is>
          <t>Nutella</t>
        </is>
      </c>
      <c r="D196" s="4" t="n">
        <v>1478.1</v>
      </c>
      <c r="E196" s="4" t="n">
        <v>1019</v>
      </c>
      <c r="F196" s="4" t="n">
        <v>1453.7</v>
      </c>
      <c r="G196" s="5">
        <f>IF(E196=0,"",D196/E196-1)</f>
        <v/>
      </c>
      <c r="H196">
        <f>IF(E196=0,IF(D196&gt;0,"Revisar",""),IF(ABS(G196)&gt;Parámetros!$B$3,"Revisar",""))</f>
        <v/>
      </c>
      <c r="I196" s="6">
        <f>INDEX(Desempeño!$C$4:$C$12,MATCH(C196,Desempeño!$A$4:$A$12,0))</f>
        <v/>
      </c>
      <c r="J196" s="4">
        <f>MAX(0,D196*(1-I196*Parámetros!$B$8))</f>
        <v/>
      </c>
      <c r="K196" s="4">
        <f>D196*(1+I196*Parámetros!$B$8)</f>
        <v/>
      </c>
      <c r="L196">
        <f>INDEX(Desempeño!$H$4:$H$12,MATCH(C196,Desempeño!$A$4:$A$12,0))</f>
        <v/>
      </c>
      <c r="M196">
        <f>INDEX(Desempeño!$G$4:$G$12,MATCH(C196,Desempeño!$A$4:$A$12,0))</f>
        <v/>
      </c>
      <c r="N196" s="7">
        <f>INDEX(Parámetros!$B$13:$B$21,MATCH(C196,Parámetros!$A$13:$A$21,0))</f>
        <v/>
      </c>
      <c r="O196" s="4">
        <f>D196*N196</f>
        <v/>
      </c>
    </row>
    <row r="197">
      <c r="A197" t="inlineStr">
        <is>
          <t>Noviembre 2026</t>
        </is>
      </c>
      <c r="B197" t="inlineStr">
        <is>
          <t>Manta</t>
        </is>
      </c>
      <c r="C197" t="inlineStr">
        <is>
          <t>Raffaello</t>
        </is>
      </c>
      <c r="D197" s="4" t="n">
        <v>244.1</v>
      </c>
      <c r="E197" s="4" t="n">
        <v>341</v>
      </c>
      <c r="F197" s="4" t="n">
        <v>217.7</v>
      </c>
      <c r="G197" s="5">
        <f>IF(E197=0,"",D197/E197-1)</f>
        <v/>
      </c>
      <c r="H197">
        <f>IF(E197=0,IF(D197&gt;0,"Revisar",""),IF(ABS(G197)&gt;Parámetros!$B$3,"Revisar",""))</f>
        <v/>
      </c>
      <c r="I197" s="6">
        <f>INDEX(Desempeño!$C$4:$C$12,MATCH(C197,Desempeño!$A$4:$A$12,0))</f>
        <v/>
      </c>
      <c r="J197" s="4">
        <f>MAX(0,D197*(1-I197*Parámetros!$B$8))</f>
        <v/>
      </c>
      <c r="K197" s="4">
        <f>D197*(1+I197*Parámetros!$B$8)</f>
        <v/>
      </c>
      <c r="L197">
        <f>INDEX(Desempeño!$H$4:$H$12,MATCH(C197,Desempeño!$A$4:$A$12,0))</f>
        <v/>
      </c>
      <c r="M197">
        <f>INDEX(Desempeño!$G$4:$G$12,MATCH(C197,Desempeño!$A$4:$A$12,0))</f>
        <v/>
      </c>
      <c r="N197" s="7">
        <f>INDEX(Parámetros!$B$13:$B$21,MATCH(C197,Parámetros!$A$13:$A$21,0))</f>
        <v/>
      </c>
      <c r="O197" s="4">
        <f>D197*N197</f>
        <v/>
      </c>
    </row>
    <row r="198">
      <c r="A198" t="inlineStr">
        <is>
          <t>Noviembre 2026</t>
        </is>
      </c>
      <c r="B198" t="inlineStr">
        <is>
          <t>Manta</t>
        </is>
      </c>
      <c r="C198" t="inlineStr">
        <is>
          <t>Rocher</t>
        </is>
      </c>
      <c r="D198" s="4" t="n">
        <v>1426.5</v>
      </c>
      <c r="E198" s="4" t="n">
        <v>1666</v>
      </c>
      <c r="F198" s="4" t="n">
        <v>1222.7</v>
      </c>
      <c r="G198" s="5">
        <f>IF(E198=0,"",D198/E198-1)</f>
        <v/>
      </c>
      <c r="H198">
        <f>IF(E198=0,IF(D198&gt;0,"Revisar",""),IF(ABS(G198)&gt;Parámetros!$B$3,"Revisar",""))</f>
        <v/>
      </c>
      <c r="I198" s="6">
        <f>INDEX(Desempeño!$C$4:$C$12,MATCH(C198,Desempeño!$A$4:$A$12,0))</f>
        <v/>
      </c>
      <c r="J198" s="4">
        <f>MAX(0,D198*(1-I198*Parámetros!$B$8))</f>
        <v/>
      </c>
      <c r="K198" s="4">
        <f>D198*(1+I198*Parámetros!$B$8)</f>
        <v/>
      </c>
      <c r="L198">
        <f>INDEX(Desempeño!$H$4:$H$12,MATCH(C198,Desempeño!$A$4:$A$12,0))</f>
        <v/>
      </c>
      <c r="M198">
        <f>INDEX(Desempeño!$G$4:$G$12,MATCH(C198,Desempeño!$A$4:$A$12,0))</f>
        <v/>
      </c>
      <c r="N198" s="7">
        <f>INDEX(Parámetros!$B$13:$B$21,MATCH(C198,Parámetros!$A$13:$A$21,0))</f>
        <v/>
      </c>
      <c r="O198" s="4">
        <f>D198*N198</f>
        <v/>
      </c>
    </row>
    <row r="199">
      <c r="A199" t="inlineStr">
        <is>
          <t>Noviembre 2026</t>
        </is>
      </c>
      <c r="B199" t="inlineStr">
        <is>
          <t>Manta</t>
        </is>
      </c>
      <c r="C199" t="inlineStr">
        <is>
          <t>Tic Tac</t>
        </is>
      </c>
      <c r="D199" s="4" t="n">
        <v>796.7</v>
      </c>
      <c r="E199" s="4" t="n">
        <v>539</v>
      </c>
      <c r="F199" s="4" t="n">
        <v>749.7</v>
      </c>
      <c r="G199" s="5">
        <f>IF(E199=0,"",D199/E199-1)</f>
        <v/>
      </c>
      <c r="H199">
        <f>IF(E199=0,IF(D199&gt;0,"Revisar",""),IF(ABS(G199)&gt;Parámetros!$B$3,"Revisar",""))</f>
        <v/>
      </c>
      <c r="I199" s="6">
        <f>INDEX(Desempeño!$C$4:$C$12,MATCH(C199,Desempeño!$A$4:$A$12,0))</f>
        <v/>
      </c>
      <c r="J199" s="4">
        <f>MAX(0,D199*(1-I199*Parámetros!$B$8))</f>
        <v/>
      </c>
      <c r="K199" s="4">
        <f>D199*(1+I199*Parámetros!$B$8)</f>
        <v/>
      </c>
      <c r="L199">
        <f>INDEX(Desempeño!$H$4:$H$12,MATCH(C199,Desempeño!$A$4:$A$12,0))</f>
        <v/>
      </c>
      <c r="M199">
        <f>INDEX(Desempeño!$G$4:$G$12,MATCH(C199,Desempeño!$A$4:$A$12,0))</f>
        <v/>
      </c>
      <c r="N199" s="7">
        <f>INDEX(Parámetros!$B$13:$B$21,MATCH(C199,Parámetros!$A$13:$A$21,0))</f>
        <v/>
      </c>
      <c r="O199" s="4">
        <f>D199*N199</f>
        <v/>
      </c>
    </row>
    <row r="200">
      <c r="A200" t="inlineStr">
        <is>
          <t>Noviembre 2026</t>
        </is>
      </c>
      <c r="B200" t="inlineStr">
        <is>
          <t>Quito</t>
        </is>
      </c>
      <c r="C200" t="inlineStr">
        <is>
          <t>Hanuta</t>
        </is>
      </c>
      <c r="D200" s="4" t="n">
        <v>7285.1</v>
      </c>
      <c r="E200" s="4" t="n">
        <v>7597</v>
      </c>
      <c r="F200" s="4" t="n">
        <v>6776</v>
      </c>
      <c r="G200" s="5">
        <f>IF(E200=0,"",D200/E200-1)</f>
        <v/>
      </c>
      <c r="H200">
        <f>IF(E200=0,IF(D200&gt;0,"Revisar",""),IF(ABS(G200)&gt;Parámetros!$B$3,"Revisar",""))</f>
        <v/>
      </c>
      <c r="I200" s="6">
        <f>INDEX(Desempeño!$C$4:$C$12,MATCH(C200,Desempeño!$A$4:$A$12,0))</f>
        <v/>
      </c>
      <c r="J200" s="4">
        <f>MAX(0,D200*(1-I200*Parámetros!$B$8))</f>
        <v/>
      </c>
      <c r="K200" s="4">
        <f>D200*(1+I200*Parámetros!$B$8)</f>
        <v/>
      </c>
      <c r="L200">
        <f>INDEX(Desempeño!$H$4:$H$12,MATCH(C200,Desempeño!$A$4:$A$12,0))</f>
        <v/>
      </c>
      <c r="M200">
        <f>INDEX(Desempeño!$G$4:$G$12,MATCH(C200,Desempeño!$A$4:$A$12,0))</f>
        <v/>
      </c>
      <c r="N200" s="7">
        <f>INDEX(Parámetros!$B$13:$B$21,MATCH(C200,Parámetros!$A$13:$A$21,0))</f>
        <v/>
      </c>
      <c r="O200" s="4">
        <f>D200*N200</f>
        <v/>
      </c>
    </row>
    <row r="201">
      <c r="A201" t="inlineStr">
        <is>
          <t>Noviembre 2026</t>
        </is>
      </c>
      <c r="B201" t="inlineStr">
        <is>
          <t>Quito</t>
        </is>
      </c>
      <c r="C201" t="inlineStr">
        <is>
          <t>Kinder Bueno</t>
        </is>
      </c>
      <c r="D201" s="4" t="n">
        <v>7295.2</v>
      </c>
      <c r="E201" s="4" t="n">
        <v>8945.666666666668</v>
      </c>
      <c r="F201" s="4" t="n">
        <v>6589.8</v>
      </c>
      <c r="G201" s="5">
        <f>IF(E201=0,"",D201/E201-1)</f>
        <v/>
      </c>
      <c r="H201">
        <f>IF(E201=0,IF(D201&gt;0,"Revisar",""),IF(ABS(G201)&gt;Parámetros!$B$3,"Revisar",""))</f>
        <v/>
      </c>
      <c r="I201" s="6">
        <f>INDEX(Desempeño!$C$4:$C$12,MATCH(C201,Desempeño!$A$4:$A$12,0))</f>
        <v/>
      </c>
      <c r="J201" s="4">
        <f>MAX(0,D201*(1-I201*Parámetros!$B$8))</f>
        <v/>
      </c>
      <c r="K201" s="4">
        <f>D201*(1+I201*Parámetros!$B$8)</f>
        <v/>
      </c>
      <c r="L201">
        <f>INDEX(Desempeño!$H$4:$H$12,MATCH(C201,Desempeño!$A$4:$A$12,0))</f>
        <v/>
      </c>
      <c r="M201">
        <f>INDEX(Desempeño!$G$4:$G$12,MATCH(C201,Desempeño!$A$4:$A$12,0))</f>
        <v/>
      </c>
      <c r="N201" s="7">
        <f>INDEX(Parámetros!$B$13:$B$21,MATCH(C201,Parámetros!$A$13:$A$21,0))</f>
        <v/>
      </c>
      <c r="O201" s="4">
        <f>D201*N201</f>
        <v/>
      </c>
    </row>
    <row r="202">
      <c r="A202" t="inlineStr">
        <is>
          <t>Noviembre 2026</t>
        </is>
      </c>
      <c r="B202" t="inlineStr">
        <is>
          <t>Quito</t>
        </is>
      </c>
      <c r="C202" t="inlineStr">
        <is>
          <t>Kinder Chocolate</t>
        </is>
      </c>
      <c r="D202" s="4" t="n">
        <v>2985.4</v>
      </c>
      <c r="E202" s="4" t="n">
        <v>2701.625</v>
      </c>
      <c r="F202" s="4" t="n">
        <v>3043.3</v>
      </c>
      <c r="G202" s="5">
        <f>IF(E202=0,"",D202/E202-1)</f>
        <v/>
      </c>
      <c r="H202">
        <f>IF(E202=0,IF(D202&gt;0,"Revisar",""),IF(ABS(G202)&gt;Parámetros!$B$3,"Revisar",""))</f>
        <v/>
      </c>
      <c r="I202" s="6">
        <f>INDEX(Desempeño!$C$4:$C$12,MATCH(C202,Desempeño!$A$4:$A$12,0))</f>
        <v/>
      </c>
      <c r="J202" s="4">
        <f>MAX(0,D202*(1-I202*Parámetros!$B$8))</f>
        <v/>
      </c>
      <c r="K202" s="4">
        <f>D202*(1+I202*Parámetros!$B$8)</f>
        <v/>
      </c>
      <c r="L202">
        <f>INDEX(Desempeño!$H$4:$H$12,MATCH(C202,Desempeño!$A$4:$A$12,0))</f>
        <v/>
      </c>
      <c r="M202">
        <f>INDEX(Desempeño!$G$4:$G$12,MATCH(C202,Desempeño!$A$4:$A$12,0))</f>
        <v/>
      </c>
      <c r="N202" s="7">
        <f>INDEX(Parámetros!$B$13:$B$21,MATCH(C202,Parámetros!$A$13:$A$21,0))</f>
        <v/>
      </c>
      <c r="O202" s="4">
        <f>D202*N202</f>
        <v/>
      </c>
    </row>
    <row r="203">
      <c r="A203" t="inlineStr">
        <is>
          <t>Noviembre 2026</t>
        </is>
      </c>
      <c r="B203" t="inlineStr">
        <is>
          <t>Quito</t>
        </is>
      </c>
      <c r="C203" t="inlineStr">
        <is>
          <t>Kinder Joy</t>
        </is>
      </c>
      <c r="D203" s="4" t="n">
        <v>14256.8</v>
      </c>
      <c r="E203" s="4" t="n">
        <v>20661.41666666666</v>
      </c>
      <c r="F203" s="4" t="n">
        <v>12476.6</v>
      </c>
      <c r="G203" s="5">
        <f>IF(E203=0,"",D203/E203-1)</f>
        <v/>
      </c>
      <c r="H203">
        <f>IF(E203=0,IF(D203&gt;0,"Revisar",""),IF(ABS(G203)&gt;Parámetros!$B$3,"Revisar",""))</f>
        <v/>
      </c>
      <c r="I203" s="6">
        <f>INDEX(Desempeño!$C$4:$C$12,MATCH(C203,Desempeño!$A$4:$A$12,0))</f>
        <v/>
      </c>
      <c r="J203" s="4">
        <f>MAX(0,D203*(1-I203*Parámetros!$B$8))</f>
        <v/>
      </c>
      <c r="K203" s="4">
        <f>D203*(1+I203*Parámetros!$B$8)</f>
        <v/>
      </c>
      <c r="L203">
        <f>INDEX(Desempeño!$H$4:$H$12,MATCH(C203,Desempeño!$A$4:$A$12,0))</f>
        <v/>
      </c>
      <c r="M203">
        <f>INDEX(Desempeño!$G$4:$G$12,MATCH(C203,Desempeño!$A$4:$A$12,0))</f>
        <v/>
      </c>
      <c r="N203" s="7">
        <f>INDEX(Parámetros!$B$13:$B$21,MATCH(C203,Parámetros!$A$13:$A$21,0))</f>
        <v/>
      </c>
      <c r="O203" s="4">
        <f>D203*N203</f>
        <v/>
      </c>
    </row>
    <row r="204">
      <c r="A204" t="inlineStr">
        <is>
          <t>Noviembre 2026</t>
        </is>
      </c>
      <c r="B204" t="inlineStr">
        <is>
          <t>Quito</t>
        </is>
      </c>
      <c r="C204" t="inlineStr">
        <is>
          <t>Noggy</t>
        </is>
      </c>
      <c r="D204" s="4" t="n">
        <v>11254.2</v>
      </c>
      <c r="E204" s="4" t="n">
        <v>15001</v>
      </c>
      <c r="F204" s="4" t="n">
        <v>10319.3</v>
      </c>
      <c r="G204" s="5">
        <f>IF(E204=0,"",D204/E204-1)</f>
        <v/>
      </c>
      <c r="H204">
        <f>IF(E204=0,IF(D204&gt;0,"Revisar",""),IF(ABS(G204)&gt;Parámetros!$B$3,"Revisar",""))</f>
        <v/>
      </c>
      <c r="I204" s="6">
        <f>INDEX(Desempeño!$C$4:$C$12,MATCH(C204,Desempeño!$A$4:$A$12,0))</f>
        <v/>
      </c>
      <c r="J204" s="4">
        <f>MAX(0,D204*(1-I204*Parámetros!$B$8))</f>
        <v/>
      </c>
      <c r="K204" s="4">
        <f>D204*(1+I204*Parámetros!$B$8)</f>
        <v/>
      </c>
      <c r="L204">
        <f>INDEX(Desempeño!$H$4:$H$12,MATCH(C204,Desempeño!$A$4:$A$12,0))</f>
        <v/>
      </c>
      <c r="M204">
        <f>INDEX(Desempeño!$G$4:$G$12,MATCH(C204,Desempeño!$A$4:$A$12,0))</f>
        <v/>
      </c>
      <c r="N204" s="7">
        <f>INDEX(Parámetros!$B$13:$B$21,MATCH(C204,Parámetros!$A$13:$A$21,0))</f>
        <v/>
      </c>
      <c r="O204" s="4">
        <f>D204*N204</f>
        <v/>
      </c>
    </row>
    <row r="205">
      <c r="A205" t="inlineStr">
        <is>
          <t>Noviembre 2026</t>
        </is>
      </c>
      <c r="B205" t="inlineStr">
        <is>
          <t>Quito</t>
        </is>
      </c>
      <c r="C205" t="inlineStr">
        <is>
          <t>Nutella</t>
        </is>
      </c>
      <c r="D205" s="4" t="n">
        <v>20915.5</v>
      </c>
      <c r="E205" s="4" t="n">
        <v>19213.5</v>
      </c>
      <c r="F205" s="4" t="n">
        <v>22098.6</v>
      </c>
      <c r="G205" s="5">
        <f>IF(E205=0,"",D205/E205-1)</f>
        <v/>
      </c>
      <c r="H205">
        <f>IF(E205=0,IF(D205&gt;0,"Revisar",""),IF(ABS(G205)&gt;Parámetros!$B$3,"Revisar",""))</f>
        <v/>
      </c>
      <c r="I205" s="6">
        <f>INDEX(Desempeño!$C$4:$C$12,MATCH(C205,Desempeño!$A$4:$A$12,0))</f>
        <v/>
      </c>
      <c r="J205" s="4">
        <f>MAX(0,D205*(1-I205*Parámetros!$B$8))</f>
        <v/>
      </c>
      <c r="K205" s="4">
        <f>D205*(1+I205*Parámetros!$B$8)</f>
        <v/>
      </c>
      <c r="L205">
        <f>INDEX(Desempeño!$H$4:$H$12,MATCH(C205,Desempeño!$A$4:$A$12,0))</f>
        <v/>
      </c>
      <c r="M205">
        <f>INDEX(Desempeño!$G$4:$G$12,MATCH(C205,Desempeño!$A$4:$A$12,0))</f>
        <v/>
      </c>
      <c r="N205" s="7">
        <f>INDEX(Parámetros!$B$13:$B$21,MATCH(C205,Parámetros!$A$13:$A$21,0))</f>
        <v/>
      </c>
      <c r="O205" s="4">
        <f>D205*N205</f>
        <v/>
      </c>
    </row>
    <row r="206">
      <c r="A206" t="inlineStr">
        <is>
          <t>Noviembre 2026</t>
        </is>
      </c>
      <c r="B206" t="inlineStr">
        <is>
          <t>Quito</t>
        </is>
      </c>
      <c r="C206" t="inlineStr">
        <is>
          <t>Raffaello</t>
        </is>
      </c>
      <c r="D206" s="4" t="n">
        <v>6471.5</v>
      </c>
      <c r="E206" s="4" t="n">
        <v>7475.375</v>
      </c>
      <c r="F206" s="4" t="n">
        <v>5835.7</v>
      </c>
      <c r="G206" s="5">
        <f>IF(E206=0,"",D206/E206-1)</f>
        <v/>
      </c>
      <c r="H206">
        <f>IF(E206=0,IF(D206&gt;0,"Revisar",""),IF(ABS(G206)&gt;Parámetros!$B$3,"Revisar",""))</f>
        <v/>
      </c>
      <c r="I206" s="6">
        <f>INDEX(Desempeño!$C$4:$C$12,MATCH(C206,Desempeño!$A$4:$A$12,0))</f>
        <v/>
      </c>
      <c r="J206" s="4">
        <f>MAX(0,D206*(1-I206*Parámetros!$B$8))</f>
        <v/>
      </c>
      <c r="K206" s="4">
        <f>D206*(1+I206*Parámetros!$B$8)</f>
        <v/>
      </c>
      <c r="L206">
        <f>INDEX(Desempeño!$H$4:$H$12,MATCH(C206,Desempeño!$A$4:$A$12,0))</f>
        <v/>
      </c>
      <c r="M206">
        <f>INDEX(Desempeño!$G$4:$G$12,MATCH(C206,Desempeño!$A$4:$A$12,0))</f>
        <v/>
      </c>
      <c r="N206" s="7">
        <f>INDEX(Parámetros!$B$13:$B$21,MATCH(C206,Parámetros!$A$13:$A$21,0))</f>
        <v/>
      </c>
      <c r="O206" s="4">
        <f>D206*N206</f>
        <v/>
      </c>
    </row>
    <row r="207">
      <c r="A207" t="inlineStr">
        <is>
          <t>Noviembre 2026</t>
        </is>
      </c>
      <c r="B207" t="inlineStr">
        <is>
          <t>Quito</t>
        </is>
      </c>
      <c r="C207" t="inlineStr">
        <is>
          <t>Rocher</t>
        </is>
      </c>
      <c r="D207" s="4" t="n">
        <v>27938.3</v>
      </c>
      <c r="E207" s="4" t="n">
        <v>41816.4375</v>
      </c>
      <c r="F207" s="4" t="n">
        <v>14950.9</v>
      </c>
      <c r="G207" s="5">
        <f>IF(E207=0,"",D207/E207-1)</f>
        <v/>
      </c>
      <c r="H207">
        <f>IF(E207=0,IF(D207&gt;0,"Revisar",""),IF(ABS(G207)&gt;Parámetros!$B$3,"Revisar",""))</f>
        <v/>
      </c>
      <c r="I207" s="6">
        <f>INDEX(Desempeño!$C$4:$C$12,MATCH(C207,Desempeño!$A$4:$A$12,0))</f>
        <v/>
      </c>
      <c r="J207" s="4">
        <f>MAX(0,D207*(1-I207*Parámetros!$B$8))</f>
        <v/>
      </c>
      <c r="K207" s="4">
        <f>D207*(1+I207*Parámetros!$B$8)</f>
        <v/>
      </c>
      <c r="L207">
        <f>INDEX(Desempeño!$H$4:$H$12,MATCH(C207,Desempeño!$A$4:$A$12,0))</f>
        <v/>
      </c>
      <c r="M207">
        <f>INDEX(Desempeño!$G$4:$G$12,MATCH(C207,Desempeño!$A$4:$A$12,0))</f>
        <v/>
      </c>
      <c r="N207" s="7">
        <f>INDEX(Parámetros!$B$13:$B$21,MATCH(C207,Parámetros!$A$13:$A$21,0))</f>
        <v/>
      </c>
      <c r="O207" s="4">
        <f>D207*N207</f>
        <v/>
      </c>
    </row>
    <row r="208">
      <c r="A208" t="inlineStr">
        <is>
          <t>Noviembre 2026</t>
        </is>
      </c>
      <c r="B208" t="inlineStr">
        <is>
          <t>Quito</t>
        </is>
      </c>
      <c r="C208" t="inlineStr">
        <is>
          <t>Tic Tac</t>
        </is>
      </c>
      <c r="D208" s="4" t="n">
        <v>5816.7</v>
      </c>
      <c r="E208" s="4" t="n">
        <v>5228.583333333334</v>
      </c>
      <c r="F208" s="4" t="n">
        <v>5865.3</v>
      </c>
      <c r="G208" s="5">
        <f>IF(E208=0,"",D208/E208-1)</f>
        <v/>
      </c>
      <c r="H208">
        <f>IF(E208=0,IF(D208&gt;0,"Revisar",""),IF(ABS(G208)&gt;Parámetros!$B$3,"Revisar",""))</f>
        <v/>
      </c>
      <c r="I208" s="6">
        <f>INDEX(Desempeño!$C$4:$C$12,MATCH(C208,Desempeño!$A$4:$A$12,0))</f>
        <v/>
      </c>
      <c r="J208" s="4">
        <f>MAX(0,D208*(1-I208*Parámetros!$B$8))</f>
        <v/>
      </c>
      <c r="K208" s="4">
        <f>D208*(1+I208*Parámetros!$B$8)</f>
        <v/>
      </c>
      <c r="L208">
        <f>INDEX(Desempeño!$H$4:$H$12,MATCH(C208,Desempeño!$A$4:$A$12,0))</f>
        <v/>
      </c>
      <c r="M208">
        <f>INDEX(Desempeño!$G$4:$G$12,MATCH(C208,Desempeño!$A$4:$A$12,0))</f>
        <v/>
      </c>
      <c r="N208" s="7">
        <f>INDEX(Parámetros!$B$13:$B$21,MATCH(C208,Parámetros!$A$13:$A$21,0))</f>
        <v/>
      </c>
      <c r="O208" s="4">
        <f>D208*N208</f>
        <v/>
      </c>
    </row>
    <row r="209">
      <c r="A209" t="inlineStr">
        <is>
          <t>Noviembre 2026</t>
        </is>
      </c>
      <c r="B209" t="inlineStr">
        <is>
          <t>Santo Domingo</t>
        </is>
      </c>
      <c r="C209" t="inlineStr">
        <is>
          <t>Hanuta</t>
        </is>
      </c>
      <c r="D209" s="4" t="n">
        <v>473</v>
      </c>
      <c r="E209" s="4" t="n">
        <v>509</v>
      </c>
      <c r="F209" s="4" t="n">
        <v>424.7</v>
      </c>
      <c r="G209" s="5">
        <f>IF(E209=0,"",D209/E209-1)</f>
        <v/>
      </c>
      <c r="H209">
        <f>IF(E209=0,IF(D209&gt;0,"Revisar",""),IF(ABS(G209)&gt;Parámetros!$B$3,"Revisar",""))</f>
        <v/>
      </c>
      <c r="I209" s="6">
        <f>INDEX(Desempeño!$C$4:$C$12,MATCH(C209,Desempeño!$A$4:$A$12,0))</f>
        <v/>
      </c>
      <c r="J209" s="4">
        <f>MAX(0,D209*(1-I209*Parámetros!$B$8))</f>
        <v/>
      </c>
      <c r="K209" s="4">
        <f>D209*(1+I209*Parámetros!$B$8)</f>
        <v/>
      </c>
      <c r="L209">
        <f>INDEX(Desempeño!$H$4:$H$12,MATCH(C209,Desempeño!$A$4:$A$12,0))</f>
        <v/>
      </c>
      <c r="M209">
        <f>INDEX(Desempeño!$G$4:$G$12,MATCH(C209,Desempeño!$A$4:$A$12,0))</f>
        <v/>
      </c>
      <c r="N209" s="7">
        <f>INDEX(Parámetros!$B$13:$B$21,MATCH(C209,Parámetros!$A$13:$A$21,0))</f>
        <v/>
      </c>
      <c r="O209" s="4">
        <f>D209*N209</f>
        <v/>
      </c>
    </row>
    <row r="210">
      <c r="A210" t="inlineStr">
        <is>
          <t>Noviembre 2026</t>
        </is>
      </c>
      <c r="B210" t="inlineStr">
        <is>
          <t>Santo Domingo</t>
        </is>
      </c>
      <c r="C210" t="inlineStr">
        <is>
          <t>Kinder Bueno</t>
        </is>
      </c>
      <c r="D210" s="4" t="n">
        <v>330.1</v>
      </c>
      <c r="E210" s="4" t="n">
        <v>258</v>
      </c>
      <c r="F210" s="4" t="n">
        <v>269</v>
      </c>
      <c r="G210" s="5">
        <f>IF(E210=0,"",D210/E210-1)</f>
        <v/>
      </c>
      <c r="H210">
        <f>IF(E210=0,IF(D210&gt;0,"Revisar",""),IF(ABS(G210)&gt;Parámetros!$B$3,"Revisar",""))</f>
        <v/>
      </c>
      <c r="I210" s="6">
        <f>INDEX(Desempeño!$C$4:$C$12,MATCH(C210,Desempeño!$A$4:$A$12,0))</f>
        <v/>
      </c>
      <c r="J210" s="4">
        <f>MAX(0,D210*(1-I210*Parámetros!$B$8))</f>
        <v/>
      </c>
      <c r="K210" s="4">
        <f>D210*(1+I210*Parámetros!$B$8)</f>
        <v/>
      </c>
      <c r="L210">
        <f>INDEX(Desempeño!$H$4:$H$12,MATCH(C210,Desempeño!$A$4:$A$12,0))</f>
        <v/>
      </c>
      <c r="M210">
        <f>INDEX(Desempeño!$G$4:$G$12,MATCH(C210,Desempeño!$A$4:$A$12,0))</f>
        <v/>
      </c>
      <c r="N210" s="7">
        <f>INDEX(Parámetros!$B$13:$B$21,MATCH(C210,Parámetros!$A$13:$A$21,0))</f>
        <v/>
      </c>
      <c r="O210" s="4">
        <f>D210*N210</f>
        <v/>
      </c>
    </row>
    <row r="211">
      <c r="A211" t="inlineStr">
        <is>
          <t>Noviembre 2026</t>
        </is>
      </c>
      <c r="B211" t="inlineStr">
        <is>
          <t>Santo Domingo</t>
        </is>
      </c>
      <c r="C211" t="inlineStr">
        <is>
          <t>Kinder Chocolate</t>
        </is>
      </c>
      <c r="D211" s="4" t="n">
        <v>106.7</v>
      </c>
      <c r="E211" s="4" t="n">
        <v>72</v>
      </c>
      <c r="F211" s="4" t="n">
        <v>82.3</v>
      </c>
      <c r="G211" s="5">
        <f>IF(E211=0,"",D211/E211-1)</f>
        <v/>
      </c>
      <c r="H211">
        <f>IF(E211=0,IF(D211&gt;0,"Revisar",""),IF(ABS(G211)&gt;Parámetros!$B$3,"Revisar",""))</f>
        <v/>
      </c>
      <c r="I211" s="6">
        <f>INDEX(Desempeño!$C$4:$C$12,MATCH(C211,Desempeño!$A$4:$A$12,0))</f>
        <v/>
      </c>
      <c r="J211" s="4">
        <f>MAX(0,D211*(1-I211*Parámetros!$B$8))</f>
        <v/>
      </c>
      <c r="K211" s="4">
        <f>D211*(1+I211*Parámetros!$B$8)</f>
        <v/>
      </c>
      <c r="L211">
        <f>INDEX(Desempeño!$H$4:$H$12,MATCH(C211,Desempeño!$A$4:$A$12,0))</f>
        <v/>
      </c>
      <c r="M211">
        <f>INDEX(Desempeño!$G$4:$G$12,MATCH(C211,Desempeño!$A$4:$A$12,0))</f>
        <v/>
      </c>
      <c r="N211" s="7">
        <f>INDEX(Parámetros!$B$13:$B$21,MATCH(C211,Parámetros!$A$13:$A$21,0))</f>
        <v/>
      </c>
      <c r="O211" s="4">
        <f>D211*N211</f>
        <v/>
      </c>
    </row>
    <row r="212">
      <c r="A212" t="inlineStr">
        <is>
          <t>Noviembre 2026</t>
        </is>
      </c>
      <c r="B212" t="inlineStr">
        <is>
          <t>Santo Domingo</t>
        </is>
      </c>
      <c r="C212" t="inlineStr">
        <is>
          <t>Kinder Joy</t>
        </is>
      </c>
      <c r="D212" s="4" t="n">
        <v>2674.3</v>
      </c>
      <c r="E212" s="4" t="n">
        <v>3264</v>
      </c>
      <c r="F212" s="4" t="n">
        <v>2361.3</v>
      </c>
      <c r="G212" s="5">
        <f>IF(E212=0,"",D212/E212-1)</f>
        <v/>
      </c>
      <c r="H212">
        <f>IF(E212=0,IF(D212&gt;0,"Revisar",""),IF(ABS(G212)&gt;Parámetros!$B$3,"Revisar",""))</f>
        <v/>
      </c>
      <c r="I212" s="6">
        <f>INDEX(Desempeño!$C$4:$C$12,MATCH(C212,Desempeño!$A$4:$A$12,0))</f>
        <v/>
      </c>
      <c r="J212" s="4">
        <f>MAX(0,D212*(1-I212*Parámetros!$B$8))</f>
        <v/>
      </c>
      <c r="K212" s="4">
        <f>D212*(1+I212*Parámetros!$B$8)</f>
        <v/>
      </c>
      <c r="L212">
        <f>INDEX(Desempeño!$H$4:$H$12,MATCH(C212,Desempeño!$A$4:$A$12,0))</f>
        <v/>
      </c>
      <c r="M212">
        <f>INDEX(Desempeño!$G$4:$G$12,MATCH(C212,Desempeño!$A$4:$A$12,0))</f>
        <v/>
      </c>
      <c r="N212" s="7">
        <f>INDEX(Parámetros!$B$13:$B$21,MATCH(C212,Parámetros!$A$13:$A$21,0))</f>
        <v/>
      </c>
      <c r="O212" s="4">
        <f>D212*N212</f>
        <v/>
      </c>
    </row>
    <row r="213">
      <c r="A213" t="inlineStr">
        <is>
          <t>Noviembre 2026</t>
        </is>
      </c>
      <c r="B213" t="inlineStr">
        <is>
          <t>Santo Domingo</t>
        </is>
      </c>
      <c r="C213" t="inlineStr">
        <is>
          <t>Noggy</t>
        </is>
      </c>
      <c r="D213" s="4" t="n">
        <v>1429.8</v>
      </c>
      <c r="E213" s="4" t="n">
        <v>2806</v>
      </c>
      <c r="F213" s="4" t="n">
        <v>1137</v>
      </c>
      <c r="G213" s="5">
        <f>IF(E213=0,"",D213/E213-1)</f>
        <v/>
      </c>
      <c r="H213">
        <f>IF(E213=0,IF(D213&gt;0,"Revisar",""),IF(ABS(G213)&gt;Parámetros!$B$3,"Revisar",""))</f>
        <v/>
      </c>
      <c r="I213" s="6">
        <f>INDEX(Desempeño!$C$4:$C$12,MATCH(C213,Desempeño!$A$4:$A$12,0))</f>
        <v/>
      </c>
      <c r="J213" s="4">
        <f>MAX(0,D213*(1-I213*Parámetros!$B$8))</f>
        <v/>
      </c>
      <c r="K213" s="4">
        <f>D213*(1+I213*Parámetros!$B$8)</f>
        <v/>
      </c>
      <c r="L213">
        <f>INDEX(Desempeño!$H$4:$H$12,MATCH(C213,Desempeño!$A$4:$A$12,0))</f>
        <v/>
      </c>
      <c r="M213">
        <f>INDEX(Desempeño!$G$4:$G$12,MATCH(C213,Desempeño!$A$4:$A$12,0))</f>
        <v/>
      </c>
      <c r="N213" s="7">
        <f>INDEX(Parámetros!$B$13:$B$21,MATCH(C213,Parámetros!$A$13:$A$21,0))</f>
        <v/>
      </c>
      <c r="O213" s="4">
        <f>D213*N213</f>
        <v/>
      </c>
    </row>
    <row r="214">
      <c r="A214" t="inlineStr">
        <is>
          <t>Noviembre 2026</t>
        </is>
      </c>
      <c r="B214" t="inlineStr">
        <is>
          <t>Santo Domingo</t>
        </is>
      </c>
      <c r="C214" t="inlineStr">
        <is>
          <t>Nutella</t>
        </is>
      </c>
      <c r="D214" s="4" t="n">
        <v>2896.1</v>
      </c>
      <c r="E214" s="4" t="n">
        <v>2862</v>
      </c>
      <c r="F214" s="4" t="n">
        <v>3100.7</v>
      </c>
      <c r="G214" s="5">
        <f>IF(E214=0,"",D214/E214-1)</f>
        <v/>
      </c>
      <c r="H214">
        <f>IF(E214=0,IF(D214&gt;0,"Revisar",""),IF(ABS(G214)&gt;Parámetros!$B$3,"Revisar",""))</f>
        <v/>
      </c>
      <c r="I214" s="6">
        <f>INDEX(Desempeño!$C$4:$C$12,MATCH(C214,Desempeño!$A$4:$A$12,0))</f>
        <v/>
      </c>
      <c r="J214" s="4">
        <f>MAX(0,D214*(1-I214*Parámetros!$B$8))</f>
        <v/>
      </c>
      <c r="K214" s="4">
        <f>D214*(1+I214*Parámetros!$B$8)</f>
        <v/>
      </c>
      <c r="L214">
        <f>INDEX(Desempeño!$H$4:$H$12,MATCH(C214,Desempeño!$A$4:$A$12,0))</f>
        <v/>
      </c>
      <c r="M214">
        <f>INDEX(Desempeño!$G$4:$G$12,MATCH(C214,Desempeño!$A$4:$A$12,0))</f>
        <v/>
      </c>
      <c r="N214" s="7">
        <f>INDEX(Parámetros!$B$13:$B$21,MATCH(C214,Parámetros!$A$13:$A$21,0))</f>
        <v/>
      </c>
      <c r="O214" s="4">
        <f>D214*N214</f>
        <v/>
      </c>
    </row>
    <row r="215">
      <c r="A215" t="inlineStr">
        <is>
          <t>Noviembre 2026</t>
        </is>
      </c>
      <c r="B215" t="inlineStr">
        <is>
          <t>Santo Domingo</t>
        </is>
      </c>
      <c r="C215" t="inlineStr">
        <is>
          <t>Raffaello</t>
        </is>
      </c>
      <c r="D215" s="4" t="n">
        <v>259.9</v>
      </c>
      <c r="E215" s="4" t="n">
        <v>493</v>
      </c>
      <c r="F215" s="4" t="n">
        <v>176.7</v>
      </c>
      <c r="G215" s="5">
        <f>IF(E215=0,"",D215/E215-1)</f>
        <v/>
      </c>
      <c r="H215">
        <f>IF(E215=0,IF(D215&gt;0,"Revisar",""),IF(ABS(G215)&gt;Parámetros!$B$3,"Revisar",""))</f>
        <v/>
      </c>
      <c r="I215" s="6">
        <f>INDEX(Desempeño!$C$4:$C$12,MATCH(C215,Desempeño!$A$4:$A$12,0))</f>
        <v/>
      </c>
      <c r="J215" s="4">
        <f>MAX(0,D215*(1-I215*Parámetros!$B$8))</f>
        <v/>
      </c>
      <c r="K215" s="4">
        <f>D215*(1+I215*Parámetros!$B$8)</f>
        <v/>
      </c>
      <c r="L215">
        <f>INDEX(Desempeño!$H$4:$H$12,MATCH(C215,Desempeño!$A$4:$A$12,0))</f>
        <v/>
      </c>
      <c r="M215">
        <f>INDEX(Desempeño!$G$4:$G$12,MATCH(C215,Desempeño!$A$4:$A$12,0))</f>
        <v/>
      </c>
      <c r="N215" s="7">
        <f>INDEX(Parámetros!$B$13:$B$21,MATCH(C215,Parámetros!$A$13:$A$21,0))</f>
        <v/>
      </c>
      <c r="O215" s="4">
        <f>D215*N215</f>
        <v/>
      </c>
    </row>
    <row r="216">
      <c r="A216" t="inlineStr">
        <is>
          <t>Noviembre 2026</t>
        </is>
      </c>
      <c r="B216" t="inlineStr">
        <is>
          <t>Santo Domingo</t>
        </is>
      </c>
      <c r="C216" t="inlineStr">
        <is>
          <t>Rocher</t>
        </is>
      </c>
      <c r="D216" s="4" t="n">
        <v>3542.8</v>
      </c>
      <c r="E216" s="4" t="n">
        <v>6123</v>
      </c>
      <c r="F216" s="4" t="n">
        <v>2521.3</v>
      </c>
      <c r="G216" s="5">
        <f>IF(E216=0,"",D216/E216-1)</f>
        <v/>
      </c>
      <c r="H216">
        <f>IF(E216=0,IF(D216&gt;0,"Revisar",""),IF(ABS(G216)&gt;Parámetros!$B$3,"Revisar",""))</f>
        <v/>
      </c>
      <c r="I216" s="6">
        <f>INDEX(Desempeño!$C$4:$C$12,MATCH(C216,Desempeño!$A$4:$A$12,0))</f>
        <v/>
      </c>
      <c r="J216" s="4">
        <f>MAX(0,D216*(1-I216*Parámetros!$B$8))</f>
        <v/>
      </c>
      <c r="K216" s="4">
        <f>D216*(1+I216*Parámetros!$B$8)</f>
        <v/>
      </c>
      <c r="L216">
        <f>INDEX(Desempeño!$H$4:$H$12,MATCH(C216,Desempeño!$A$4:$A$12,0))</f>
        <v/>
      </c>
      <c r="M216">
        <f>INDEX(Desempeño!$G$4:$G$12,MATCH(C216,Desempeño!$A$4:$A$12,0))</f>
        <v/>
      </c>
      <c r="N216" s="7">
        <f>INDEX(Parámetros!$B$13:$B$21,MATCH(C216,Parámetros!$A$13:$A$21,0))</f>
        <v/>
      </c>
      <c r="O216" s="4">
        <f>D216*N216</f>
        <v/>
      </c>
    </row>
    <row r="217">
      <c r="A217" t="inlineStr">
        <is>
          <t>Noviembre 2026</t>
        </is>
      </c>
      <c r="B217" t="inlineStr">
        <is>
          <t>Santo Domingo</t>
        </is>
      </c>
      <c r="C217" t="inlineStr">
        <is>
          <t>Tic Tac</t>
        </is>
      </c>
      <c r="D217" s="4" t="n">
        <v>913.7</v>
      </c>
      <c r="E217" s="4" t="n">
        <v>999</v>
      </c>
      <c r="F217" s="4" t="n">
        <v>806.7</v>
      </c>
      <c r="G217" s="5">
        <f>IF(E217=0,"",D217/E217-1)</f>
        <v/>
      </c>
      <c r="H217">
        <f>IF(E217=0,IF(D217&gt;0,"Revisar",""),IF(ABS(G217)&gt;Parámetros!$B$3,"Revisar",""))</f>
        <v/>
      </c>
      <c r="I217" s="6">
        <f>INDEX(Desempeño!$C$4:$C$12,MATCH(C217,Desempeño!$A$4:$A$12,0))</f>
        <v/>
      </c>
      <c r="J217" s="4">
        <f>MAX(0,D217*(1-I217*Parámetros!$B$8))</f>
        <v/>
      </c>
      <c r="K217" s="4">
        <f>D217*(1+I217*Parámetros!$B$8)</f>
        <v/>
      </c>
      <c r="L217">
        <f>INDEX(Desempeño!$H$4:$H$12,MATCH(C217,Desempeño!$A$4:$A$12,0))</f>
        <v/>
      </c>
      <c r="M217">
        <f>INDEX(Desempeño!$G$4:$G$12,MATCH(C217,Desempeño!$A$4:$A$12,0))</f>
        <v/>
      </c>
      <c r="N217" s="7">
        <f>INDEX(Parámetros!$B$13:$B$21,MATCH(C217,Parámetros!$A$13:$A$21,0))</f>
        <v/>
      </c>
      <c r="O217" s="4">
        <f>D217*N217</f>
        <v/>
      </c>
    </row>
  </sheetData>
  <autoFilter ref="A1:O217"/>
  <conditionalFormatting sqref="A2:O217">
    <cfRule type="expression" priority="1" dxfId="0">
      <formula>$H2="Revisar"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4" customWidth="1" min="4" max="4"/>
    <col width="20" customWidth="1" min="5" max="5"/>
    <col width="17" customWidth="1" min="6" max="6"/>
  </cols>
  <sheetData>
    <row r="1">
      <c r="A1" s="1" t="inlineStr">
        <is>
          <t>Pronóstico nacional por mes</t>
        </is>
      </c>
    </row>
    <row r="3" ht="32" customHeight="1">
      <c r="A3" s="3" t="inlineStr">
        <is>
          <t>Mes</t>
        </is>
      </c>
      <c r="B3" s="3" t="inlineStr">
        <is>
          <t>Pronóstico (u.)</t>
        </is>
      </c>
      <c r="C3" s="3" t="inlineStr">
        <is>
          <t>Mismo mes 2025 (u.)</t>
        </is>
      </c>
      <c r="D3" s="3" t="inlineStr">
        <is>
          <t>Variación</t>
        </is>
      </c>
      <c r="E3" s="3" t="inlineStr">
        <is>
          <t>Valor (millones US$)</t>
        </is>
      </c>
      <c r="F3" s="3" t="inlineStr">
        <is>
          <t>Filas con alerta</t>
        </is>
      </c>
    </row>
    <row r="4">
      <c r="A4" t="inlineStr">
        <is>
          <t>Septiembre 2026</t>
        </is>
      </c>
      <c r="B4" s="4">
        <f>SUMIFS(Pronóstico!$D$2:$D$217,Pronóstico!$A$2:$A$217,A4)</f>
        <v/>
      </c>
      <c r="C4" s="4">
        <f>SUMIFS(Pronóstico!$E$2:$E$217,Pronóstico!$A$2:$A$217,A4)</f>
        <v/>
      </c>
      <c r="D4" s="5">
        <f>B4/C4-1</f>
        <v/>
      </c>
      <c r="E4" s="7">
        <f>SUMIFS(Pronóstico!$O$2:$O$217,Pronóstico!$A$2:$A$217,A4)/1000000</f>
        <v/>
      </c>
      <c r="F4">
        <f>COUNTIFS(Pronóstico!$A$2:$A$217,A4,Pronóstico!$H$2:$H$217,"Revisar")&amp;" de "&amp;COUNTIFS(Pronóstico!$A$2:$A$217,A4)</f>
        <v/>
      </c>
    </row>
    <row r="5">
      <c r="A5" t="inlineStr">
        <is>
          <t>Octubre 2026</t>
        </is>
      </c>
      <c r="B5" s="4">
        <f>SUMIFS(Pronóstico!$D$2:$D$217,Pronóstico!$A$2:$A$217,A5)</f>
        <v/>
      </c>
      <c r="C5" s="4">
        <f>SUMIFS(Pronóstico!$E$2:$E$217,Pronóstico!$A$2:$A$217,A5)</f>
        <v/>
      </c>
      <c r="D5" s="5">
        <f>B5/C5-1</f>
        <v/>
      </c>
      <c r="E5" s="7">
        <f>SUMIFS(Pronóstico!$O$2:$O$217,Pronóstico!$A$2:$A$217,A5)/1000000</f>
        <v/>
      </c>
      <c r="F5">
        <f>COUNTIFS(Pronóstico!$A$2:$A$217,A5,Pronóstico!$H$2:$H$217,"Revisar")&amp;" de "&amp;COUNTIFS(Pronóstico!$A$2:$A$217,A5)</f>
        <v/>
      </c>
    </row>
    <row r="6">
      <c r="A6" t="inlineStr">
        <is>
          <t>Noviembre 2026</t>
        </is>
      </c>
      <c r="B6" s="4">
        <f>SUMIFS(Pronóstico!$D$2:$D$217,Pronóstico!$A$2:$A$217,A6)</f>
        <v/>
      </c>
      <c r="C6" s="4">
        <f>SUMIFS(Pronóstico!$E$2:$E$217,Pronóstico!$A$2:$A$217,A6)</f>
        <v/>
      </c>
      <c r="D6" s="5">
        <f>B6/C6-1</f>
        <v/>
      </c>
      <c r="E6" s="7">
        <f>SUMIFS(Pronóstico!$O$2:$O$217,Pronóstico!$A$2:$A$217,A6)/1000000</f>
        <v/>
      </c>
      <c r="F6">
        <f>COUNTIFS(Pronóstico!$A$2:$A$217,A6,Pronóstico!$H$2:$H$217,"Revisar")&amp;" de "&amp;COUNTIFS(Pronóstico!$A$2:$A$217,A6)</f>
        <v/>
      </c>
    </row>
    <row r="9">
      <c r="A9" s="8" t="inlineStr">
        <is>
          <t>Pronóstico por marca (u.)</t>
        </is>
      </c>
    </row>
    <row r="10" ht="32" customHeight="1">
      <c r="A10" s="3" t="inlineStr">
        <is>
          <t>Marca</t>
        </is>
      </c>
      <c r="B10" s="3" t="inlineStr">
        <is>
          <t>Septiembre 2026</t>
        </is>
      </c>
      <c r="C10" s="3" t="inlineStr">
        <is>
          <t>Octubre 2026</t>
        </is>
      </c>
      <c r="D10" s="3" t="inlineStr">
        <is>
          <t>Noviembre 2026</t>
        </is>
      </c>
    </row>
    <row r="11">
      <c r="A11" t="inlineStr">
        <is>
          <t>Hanuta</t>
        </is>
      </c>
      <c r="B11" s="4">
        <f>SUMIFS(Pronóstico!$D$2:$D$217,Pronóstico!$C$2:$C$217,$A11,Pronóstico!$A$2:$A$217,B$10)</f>
        <v/>
      </c>
      <c r="C11" s="4">
        <f>SUMIFS(Pronóstico!$D$2:$D$217,Pronóstico!$C$2:$C$217,$A11,Pronóstico!$A$2:$A$217,C$10)</f>
        <v/>
      </c>
      <c r="D11" s="4">
        <f>SUMIFS(Pronóstico!$D$2:$D$217,Pronóstico!$C$2:$C$217,$A11,Pronóstico!$A$2:$A$217,D$10)</f>
        <v/>
      </c>
    </row>
    <row r="12">
      <c r="A12" t="inlineStr">
        <is>
          <t>Kinder Bueno</t>
        </is>
      </c>
      <c r="B12" s="4">
        <f>SUMIFS(Pronóstico!$D$2:$D$217,Pronóstico!$C$2:$C$217,$A12,Pronóstico!$A$2:$A$217,B$10)</f>
        <v/>
      </c>
      <c r="C12" s="4">
        <f>SUMIFS(Pronóstico!$D$2:$D$217,Pronóstico!$C$2:$C$217,$A12,Pronóstico!$A$2:$A$217,C$10)</f>
        <v/>
      </c>
      <c r="D12" s="4">
        <f>SUMIFS(Pronóstico!$D$2:$D$217,Pronóstico!$C$2:$C$217,$A12,Pronóstico!$A$2:$A$217,D$10)</f>
        <v/>
      </c>
    </row>
    <row r="13">
      <c r="A13" t="inlineStr">
        <is>
          <t>Kinder Chocolate</t>
        </is>
      </c>
      <c r="B13" s="4">
        <f>SUMIFS(Pronóstico!$D$2:$D$217,Pronóstico!$C$2:$C$217,$A13,Pronóstico!$A$2:$A$217,B$10)</f>
        <v/>
      </c>
      <c r="C13" s="4">
        <f>SUMIFS(Pronóstico!$D$2:$D$217,Pronóstico!$C$2:$C$217,$A13,Pronóstico!$A$2:$A$217,C$10)</f>
        <v/>
      </c>
      <c r="D13" s="4">
        <f>SUMIFS(Pronóstico!$D$2:$D$217,Pronóstico!$C$2:$C$217,$A13,Pronóstico!$A$2:$A$217,D$10)</f>
        <v/>
      </c>
    </row>
    <row r="14">
      <c r="A14" t="inlineStr">
        <is>
          <t>Kinder Joy</t>
        </is>
      </c>
      <c r="B14" s="4">
        <f>SUMIFS(Pronóstico!$D$2:$D$217,Pronóstico!$C$2:$C$217,$A14,Pronóstico!$A$2:$A$217,B$10)</f>
        <v/>
      </c>
      <c r="C14" s="4">
        <f>SUMIFS(Pronóstico!$D$2:$D$217,Pronóstico!$C$2:$C$217,$A14,Pronóstico!$A$2:$A$217,C$10)</f>
        <v/>
      </c>
      <c r="D14" s="4">
        <f>SUMIFS(Pronóstico!$D$2:$D$217,Pronóstico!$C$2:$C$217,$A14,Pronóstico!$A$2:$A$217,D$10)</f>
        <v/>
      </c>
    </row>
    <row r="15">
      <c r="A15" t="inlineStr">
        <is>
          <t>Noggy</t>
        </is>
      </c>
      <c r="B15" s="4">
        <f>SUMIFS(Pronóstico!$D$2:$D$217,Pronóstico!$C$2:$C$217,$A15,Pronóstico!$A$2:$A$217,B$10)</f>
        <v/>
      </c>
      <c r="C15" s="4">
        <f>SUMIFS(Pronóstico!$D$2:$D$217,Pronóstico!$C$2:$C$217,$A15,Pronóstico!$A$2:$A$217,C$10)</f>
        <v/>
      </c>
      <c r="D15" s="4">
        <f>SUMIFS(Pronóstico!$D$2:$D$217,Pronóstico!$C$2:$C$217,$A15,Pronóstico!$A$2:$A$217,D$10)</f>
        <v/>
      </c>
    </row>
    <row r="16">
      <c r="A16" t="inlineStr">
        <is>
          <t>Nutella</t>
        </is>
      </c>
      <c r="B16" s="4">
        <f>SUMIFS(Pronóstico!$D$2:$D$217,Pronóstico!$C$2:$C$217,$A16,Pronóstico!$A$2:$A$217,B$10)</f>
        <v/>
      </c>
      <c r="C16" s="4">
        <f>SUMIFS(Pronóstico!$D$2:$D$217,Pronóstico!$C$2:$C$217,$A16,Pronóstico!$A$2:$A$217,C$10)</f>
        <v/>
      </c>
      <c r="D16" s="4">
        <f>SUMIFS(Pronóstico!$D$2:$D$217,Pronóstico!$C$2:$C$217,$A16,Pronóstico!$A$2:$A$217,D$10)</f>
        <v/>
      </c>
    </row>
    <row r="17">
      <c r="A17" t="inlineStr">
        <is>
          <t>Raffaello</t>
        </is>
      </c>
      <c r="B17" s="4">
        <f>SUMIFS(Pronóstico!$D$2:$D$217,Pronóstico!$C$2:$C$217,$A17,Pronóstico!$A$2:$A$217,B$10)</f>
        <v/>
      </c>
      <c r="C17" s="4">
        <f>SUMIFS(Pronóstico!$D$2:$D$217,Pronóstico!$C$2:$C$217,$A17,Pronóstico!$A$2:$A$217,C$10)</f>
        <v/>
      </c>
      <c r="D17" s="4">
        <f>SUMIFS(Pronóstico!$D$2:$D$217,Pronóstico!$C$2:$C$217,$A17,Pronóstico!$A$2:$A$217,D$10)</f>
        <v/>
      </c>
    </row>
    <row r="18">
      <c r="A18" t="inlineStr">
        <is>
          <t>Rocher</t>
        </is>
      </c>
      <c r="B18" s="4">
        <f>SUMIFS(Pronóstico!$D$2:$D$217,Pronóstico!$C$2:$C$217,$A18,Pronóstico!$A$2:$A$217,B$10)</f>
        <v/>
      </c>
      <c r="C18" s="4">
        <f>SUMIFS(Pronóstico!$D$2:$D$217,Pronóstico!$C$2:$C$217,$A18,Pronóstico!$A$2:$A$217,C$10)</f>
        <v/>
      </c>
      <c r="D18" s="4">
        <f>SUMIFS(Pronóstico!$D$2:$D$217,Pronóstico!$C$2:$C$217,$A18,Pronóstico!$A$2:$A$217,D$10)</f>
        <v/>
      </c>
    </row>
    <row r="19">
      <c r="A19" t="inlineStr">
        <is>
          <t>Tic Tac</t>
        </is>
      </c>
      <c r="B19" s="4">
        <f>SUMIFS(Pronóstico!$D$2:$D$217,Pronóstico!$C$2:$C$217,$A19,Pronóstico!$A$2:$A$217,B$10)</f>
        <v/>
      </c>
      <c r="C19" s="4">
        <f>SUMIFS(Pronóstico!$D$2:$D$217,Pronóstico!$C$2:$C$217,$A19,Pronóstico!$A$2:$A$217,C$10)</f>
        <v/>
      </c>
      <c r="D19" s="4">
        <f>SUMIFS(Pronóstico!$D$2:$D$217,Pronóstico!$C$2:$C$217,$A19,Pronóstico!$A$2:$A$217,D$10)</f>
        <v/>
      </c>
    </row>
    <row r="21">
      <c r="A21" s="8" t="inlineStr">
        <is>
          <t>Pronóstico por agencia (u.)</t>
        </is>
      </c>
    </row>
    <row r="22" ht="32" customHeight="1">
      <c r="A22" s="3" t="inlineStr">
        <is>
          <t>Agencia</t>
        </is>
      </c>
      <c r="B22" s="3" t="inlineStr">
        <is>
          <t>Septiembre 2026</t>
        </is>
      </c>
      <c r="C22" s="3" t="inlineStr">
        <is>
          <t>Octubre 2026</t>
        </is>
      </c>
      <c r="D22" s="3" t="inlineStr">
        <is>
          <t>Noviembre 2026</t>
        </is>
      </c>
    </row>
    <row r="23">
      <c r="A23" t="inlineStr">
        <is>
          <t>Ambato</t>
        </is>
      </c>
      <c r="B23" s="4">
        <f>SUMIFS(Pronóstico!$D$2:$D$217,Pronóstico!$B$2:$B$217,$A23,Pronóstico!$A$2:$A$217,B$22)</f>
        <v/>
      </c>
      <c r="C23" s="4">
        <f>SUMIFS(Pronóstico!$D$2:$D$217,Pronóstico!$B$2:$B$217,$A23,Pronóstico!$A$2:$A$217,C$22)</f>
        <v/>
      </c>
      <c r="D23" s="4">
        <f>SUMIFS(Pronóstico!$D$2:$D$217,Pronóstico!$B$2:$B$217,$A23,Pronóstico!$A$2:$A$217,D$22)</f>
        <v/>
      </c>
    </row>
    <row r="24">
      <c r="A24" t="inlineStr">
        <is>
          <t>Cuenca</t>
        </is>
      </c>
      <c r="B24" s="4">
        <f>SUMIFS(Pronóstico!$D$2:$D$217,Pronóstico!$B$2:$B$217,$A24,Pronóstico!$A$2:$A$217,B$22)</f>
        <v/>
      </c>
      <c r="C24" s="4">
        <f>SUMIFS(Pronóstico!$D$2:$D$217,Pronóstico!$B$2:$B$217,$A24,Pronóstico!$A$2:$A$217,C$22)</f>
        <v/>
      </c>
      <c r="D24" s="4">
        <f>SUMIFS(Pronóstico!$D$2:$D$217,Pronóstico!$B$2:$B$217,$A24,Pronóstico!$A$2:$A$217,D$22)</f>
        <v/>
      </c>
    </row>
    <row r="25">
      <c r="A25" t="inlineStr">
        <is>
          <t>Guayaquil</t>
        </is>
      </c>
      <c r="B25" s="4">
        <f>SUMIFS(Pronóstico!$D$2:$D$217,Pronóstico!$B$2:$B$217,$A25,Pronóstico!$A$2:$A$217,B$22)</f>
        <v/>
      </c>
      <c r="C25" s="4">
        <f>SUMIFS(Pronóstico!$D$2:$D$217,Pronóstico!$B$2:$B$217,$A25,Pronóstico!$A$2:$A$217,C$22)</f>
        <v/>
      </c>
      <c r="D25" s="4">
        <f>SUMIFS(Pronóstico!$D$2:$D$217,Pronóstico!$B$2:$B$217,$A25,Pronóstico!$A$2:$A$217,D$22)</f>
        <v/>
      </c>
    </row>
    <row r="26">
      <c r="A26" t="inlineStr">
        <is>
          <t>Ibarra</t>
        </is>
      </c>
      <c r="B26" s="4">
        <f>SUMIFS(Pronóstico!$D$2:$D$217,Pronóstico!$B$2:$B$217,$A26,Pronóstico!$A$2:$A$217,B$22)</f>
        <v/>
      </c>
      <c r="C26" s="4">
        <f>SUMIFS(Pronóstico!$D$2:$D$217,Pronóstico!$B$2:$B$217,$A26,Pronóstico!$A$2:$A$217,C$22)</f>
        <v/>
      </c>
      <c r="D26" s="4">
        <f>SUMIFS(Pronóstico!$D$2:$D$217,Pronóstico!$B$2:$B$217,$A26,Pronóstico!$A$2:$A$217,D$22)</f>
        <v/>
      </c>
    </row>
    <row r="27">
      <c r="A27" t="inlineStr">
        <is>
          <t>Lago Agrio</t>
        </is>
      </c>
      <c r="B27" s="4">
        <f>SUMIFS(Pronóstico!$D$2:$D$217,Pronóstico!$B$2:$B$217,$A27,Pronóstico!$A$2:$A$217,B$22)</f>
        <v/>
      </c>
      <c r="C27" s="4">
        <f>SUMIFS(Pronóstico!$D$2:$D$217,Pronóstico!$B$2:$B$217,$A27,Pronóstico!$A$2:$A$217,C$22)</f>
        <v/>
      </c>
      <c r="D27" s="4">
        <f>SUMIFS(Pronóstico!$D$2:$D$217,Pronóstico!$B$2:$B$217,$A27,Pronóstico!$A$2:$A$217,D$22)</f>
        <v/>
      </c>
    </row>
    <row r="28">
      <c r="A28" t="inlineStr">
        <is>
          <t>Manta</t>
        </is>
      </c>
      <c r="B28" s="4">
        <f>SUMIFS(Pronóstico!$D$2:$D$217,Pronóstico!$B$2:$B$217,$A28,Pronóstico!$A$2:$A$217,B$22)</f>
        <v/>
      </c>
      <c r="C28" s="4">
        <f>SUMIFS(Pronóstico!$D$2:$D$217,Pronóstico!$B$2:$B$217,$A28,Pronóstico!$A$2:$A$217,C$22)</f>
        <v/>
      </c>
      <c r="D28" s="4">
        <f>SUMIFS(Pronóstico!$D$2:$D$217,Pronóstico!$B$2:$B$217,$A28,Pronóstico!$A$2:$A$217,D$22)</f>
        <v/>
      </c>
    </row>
    <row r="29">
      <c r="A29" t="inlineStr">
        <is>
          <t>Quito</t>
        </is>
      </c>
      <c r="B29" s="4">
        <f>SUMIFS(Pronóstico!$D$2:$D$217,Pronóstico!$B$2:$B$217,$A29,Pronóstico!$A$2:$A$217,B$22)</f>
        <v/>
      </c>
      <c r="C29" s="4">
        <f>SUMIFS(Pronóstico!$D$2:$D$217,Pronóstico!$B$2:$B$217,$A29,Pronóstico!$A$2:$A$217,C$22)</f>
        <v/>
      </c>
      <c r="D29" s="4">
        <f>SUMIFS(Pronóstico!$D$2:$D$217,Pronóstico!$B$2:$B$217,$A29,Pronóstico!$A$2:$A$217,D$22)</f>
        <v/>
      </c>
    </row>
    <row r="30">
      <c r="A30" t="inlineStr">
        <is>
          <t>Santo Domingo</t>
        </is>
      </c>
      <c r="B30" s="4">
        <f>SUMIFS(Pronóstico!$D$2:$D$217,Pronóstico!$B$2:$B$217,$A30,Pronóstico!$A$2:$A$217,B$22)</f>
        <v/>
      </c>
      <c r="C30" s="4">
        <f>SUMIFS(Pronóstico!$D$2:$D$217,Pronóstico!$B$2:$B$217,$A30,Pronóstico!$A$2:$A$217,C$22)</f>
        <v/>
      </c>
      <c r="D30" s="4">
        <f>SUMIFS(Pronóstico!$D$2:$D$217,Pronóstico!$B$2:$B$217,$A30,Pronóstico!$A$2:$A$217,D$22)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1" customWidth="1" min="3" max="3"/>
    <col width="13" customWidth="1" min="4" max="4"/>
    <col width="13" customWidth="1" min="5" max="5"/>
    <col width="14" customWidth="1" min="6" max="6"/>
    <col width="44" customWidth="1" min="7" max="7"/>
    <col width="15" customWidth="1" min="8" max="8"/>
  </cols>
  <sheetData>
    <row r="1">
      <c r="A1" s="1" t="inlineStr">
        <is>
          <t>WAPE de la prueba (mayo a agosto de 2026), por agencia, marca y mes</t>
        </is>
      </c>
    </row>
    <row r="3" ht="32" customHeight="1">
      <c r="A3" s="3" t="inlineStr">
        <is>
          <t>Marca</t>
        </is>
      </c>
      <c r="B3" s="3" t="inlineStr">
        <is>
          <t>Unidades vendidas</t>
        </is>
      </c>
      <c r="C3" s="3" t="inlineStr">
        <is>
          <t>Modelo</t>
        </is>
      </c>
      <c r="D3" s="3" t="inlineStr">
        <is>
          <t>Mes anterior</t>
        </is>
      </c>
      <c r="E3" s="3" t="inlineStr">
        <is>
          <t>Año anterior</t>
        </is>
      </c>
      <c r="F3" s="3" t="inlineStr">
        <is>
          <t>Prom. móvil 3</t>
        </is>
      </c>
      <c r="G3" s="3" t="inlineStr">
        <is>
          <t>Método recomendado</t>
        </is>
      </c>
      <c r="H3" s="3" t="inlineStr">
        <is>
          <t>Confiabilidad</t>
        </is>
      </c>
    </row>
    <row r="4">
      <c r="A4" t="inlineStr">
        <is>
          <t>Kinder Chocolate</t>
        </is>
      </c>
      <c r="B4" s="4" t="n">
        <v>20570.04166666667</v>
      </c>
      <c r="C4" s="6" t="n">
        <v>0.151</v>
      </c>
      <c r="D4" s="6" t="n">
        <v>0.227</v>
      </c>
      <c r="E4" s="6" t="n">
        <v>0.24</v>
      </c>
      <c r="F4" s="6" t="n">
        <v>0.174</v>
      </c>
      <c r="G4">
        <f>IF(C4-E4&gt;=Parámetros!$B$6,"Venta del mismo mes del año anterior",IF(C4&gt;Parámetros!$B$7,"Modelo, con pedidos pequeños y frecuentes","Modelo"))</f>
        <v/>
      </c>
      <c r="H4">
        <f>IF(C4&lt;=Parámetros!$B$4,"Alta",IF(C4&lt;=Parámetros!$B$5,"Media","Baja"))</f>
        <v/>
      </c>
    </row>
    <row r="5">
      <c r="A5" t="inlineStr">
        <is>
          <t>Tic Tac</t>
        </is>
      </c>
      <c r="B5" s="4" t="n">
        <v>63721</v>
      </c>
      <c r="C5" s="6" t="n">
        <v>0.173</v>
      </c>
      <c r="D5" s="6" t="n">
        <v>0.236</v>
      </c>
      <c r="E5" s="6" t="n">
        <v>0.217</v>
      </c>
      <c r="F5" s="6" t="n">
        <v>0.181</v>
      </c>
      <c r="G5">
        <f>IF(C5-E5&gt;=Parámetros!$B$6,"Venta del mismo mes del año anterior",IF(C5&gt;Parámetros!$B$7,"Modelo, con pedidos pequeños y frecuentes","Modelo"))</f>
        <v/>
      </c>
      <c r="H5">
        <f>IF(C5&lt;=Parámetros!$B$4,"Alta",IF(C5&lt;=Parámetros!$B$5,"Media","Baja"))</f>
        <v/>
      </c>
    </row>
    <row r="6">
      <c r="A6" t="inlineStr">
        <is>
          <t>Kinder Bueno</t>
        </is>
      </c>
      <c r="B6" s="4" t="n">
        <v>68720.33333333333</v>
      </c>
      <c r="C6" s="6" t="n">
        <v>0.196</v>
      </c>
      <c r="D6" s="6" t="n">
        <v>0.284</v>
      </c>
      <c r="E6" s="6" t="n">
        <v>0.265</v>
      </c>
      <c r="F6" s="6" t="n">
        <v>0.182</v>
      </c>
      <c r="G6">
        <f>IF(C6-E6&gt;=Parámetros!$B$6,"Venta del mismo mes del año anterior",IF(C6&gt;Parámetros!$B$7,"Modelo, con pedidos pequeños y frecuentes","Modelo"))</f>
        <v/>
      </c>
      <c r="H6">
        <f>IF(C6&lt;=Parámetros!$B$4,"Alta",IF(C6&lt;=Parámetros!$B$5,"Media","Baja"))</f>
        <v/>
      </c>
    </row>
    <row r="7">
      <c r="A7" t="inlineStr">
        <is>
          <t>Nutella</t>
        </is>
      </c>
      <c r="B7" s="4" t="n">
        <v>248795.15</v>
      </c>
      <c r="C7" s="6" t="n">
        <v>0.237</v>
      </c>
      <c r="D7" s="6" t="n">
        <v>0.273</v>
      </c>
      <c r="E7" s="6" t="n">
        <v>0.246</v>
      </c>
      <c r="F7" s="6" t="n">
        <v>0.227</v>
      </c>
      <c r="G7">
        <f>IF(C7-E7&gt;=Parámetros!$B$6,"Venta del mismo mes del año anterior",IF(C7&gt;Parámetros!$B$7,"Modelo, con pedidos pequeños y frecuentes","Modelo"))</f>
        <v/>
      </c>
      <c r="H7">
        <f>IF(C7&lt;=Parámetros!$B$4,"Alta",IF(C7&lt;=Parámetros!$B$5,"Media","Baja"))</f>
        <v/>
      </c>
    </row>
    <row r="8">
      <c r="A8" t="inlineStr">
        <is>
          <t>Kinder Joy</t>
        </is>
      </c>
      <c r="B8" s="4" t="n">
        <v>142473.75</v>
      </c>
      <c r="C8" s="6" t="n">
        <v>0.262</v>
      </c>
      <c r="D8" s="6" t="n">
        <v>0.298</v>
      </c>
      <c r="E8" s="6" t="n">
        <v>0.297</v>
      </c>
      <c r="F8" s="6" t="n">
        <v>0.245</v>
      </c>
      <c r="G8">
        <f>IF(C8-E8&gt;=Parámetros!$B$6,"Venta del mismo mes del año anterior",IF(C8&gt;Parámetros!$B$7,"Modelo, con pedidos pequeños y frecuentes","Modelo"))</f>
        <v/>
      </c>
      <c r="H8">
        <f>IF(C8&lt;=Parámetros!$B$4,"Alta",IF(C8&lt;=Parámetros!$B$5,"Media","Baja"))</f>
        <v/>
      </c>
    </row>
    <row r="9">
      <c r="A9" t="inlineStr">
        <is>
          <t>Rocher</t>
        </is>
      </c>
      <c r="B9" s="4" t="n">
        <v>175906.5625</v>
      </c>
      <c r="C9" s="6" t="n">
        <v>0.342</v>
      </c>
      <c r="D9" s="6" t="n">
        <v>0.445</v>
      </c>
      <c r="E9" s="6" t="n">
        <v>0.224</v>
      </c>
      <c r="F9" s="6" t="n">
        <v>0.512</v>
      </c>
      <c r="G9">
        <f>IF(C9-E9&gt;=Parámetros!$B$6,"Venta del mismo mes del año anterior",IF(C9&gt;Parámetros!$B$7,"Modelo, con pedidos pequeños y frecuentes","Modelo"))</f>
        <v/>
      </c>
      <c r="H9">
        <f>IF(C9&lt;=Parámetros!$B$4,"Alta",IF(C9&lt;=Parámetros!$B$5,"Media","Baja"))</f>
        <v/>
      </c>
    </row>
    <row r="10">
      <c r="A10" t="inlineStr">
        <is>
          <t>Hanuta</t>
        </is>
      </c>
      <c r="B10" s="4" t="n">
        <v>51062</v>
      </c>
      <c r="C10" s="6" t="n">
        <v>0.417</v>
      </c>
      <c r="D10" s="6" t="n">
        <v>0.432</v>
      </c>
      <c r="E10" s="6" t="n">
        <v>0.521</v>
      </c>
      <c r="F10" s="6" t="n">
        <v>0.358</v>
      </c>
      <c r="G10">
        <f>IF(C10-E10&gt;=Parámetros!$B$6,"Venta del mismo mes del año anterior",IF(C10&gt;Parámetros!$B$7,"Modelo, con pedidos pequeños y frecuentes","Modelo"))</f>
        <v/>
      </c>
      <c r="H10">
        <f>IF(C10&lt;=Parámetros!$B$4,"Alta",IF(C10&lt;=Parámetros!$B$5,"Media","Baja"))</f>
        <v/>
      </c>
    </row>
    <row r="11">
      <c r="A11" t="inlineStr">
        <is>
          <t>Raffaello</t>
        </is>
      </c>
      <c r="B11" s="4" t="n">
        <v>41606.125</v>
      </c>
      <c r="C11" s="6" t="n">
        <v>0.465</v>
      </c>
      <c r="D11" s="6" t="n">
        <v>0.636</v>
      </c>
      <c r="E11" s="6" t="n">
        <v>0.341</v>
      </c>
      <c r="F11" s="6" t="n">
        <v>0.591</v>
      </c>
      <c r="G11">
        <f>IF(C11-E11&gt;=Parámetros!$B$6,"Venta del mismo mes del año anterior",IF(C11&gt;Parámetros!$B$7,"Modelo, con pedidos pequeños y frecuentes","Modelo"))</f>
        <v/>
      </c>
      <c r="H11">
        <f>IF(C11&lt;=Parámetros!$B$4,"Alta",IF(C11&lt;=Parámetros!$B$5,"Media","Baja"))</f>
        <v/>
      </c>
    </row>
    <row r="12">
      <c r="A12" t="inlineStr">
        <is>
          <t>Noggy</t>
        </is>
      </c>
      <c r="B12" s="4" t="n">
        <v>82191</v>
      </c>
      <c r="C12" s="6" t="n">
        <v>0.495</v>
      </c>
      <c r="D12" s="6" t="n">
        <v>0.402</v>
      </c>
      <c r="E12" s="6" t="n">
        <v>0.803</v>
      </c>
      <c r="F12" s="6" t="n">
        <v>0.409</v>
      </c>
      <c r="G12">
        <f>IF(C12-E12&gt;=Parámetros!$B$6,"Venta del mismo mes del año anterior",IF(C12&gt;Parámetros!$B$7,"Modelo, con pedidos pequeños y frecuentes","Modelo"))</f>
        <v/>
      </c>
      <c r="H12">
        <f>IF(C12&lt;=Parámetros!$B$4,"Alta",IF(C12&lt;=Parámetros!$B$5,"Media","Baja"))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</cols>
  <sheetData>
    <row r="1">
      <c r="A1" s="1" t="inlineStr">
        <is>
          <t>Parámetros (celdas amarillas editables)</t>
        </is>
      </c>
    </row>
    <row r="3">
      <c r="A3" t="inlineStr">
        <is>
          <t>Umbral de alerta frente al mismo mes de 2025</t>
        </is>
      </c>
      <c r="B3" s="9" t="n">
        <v>0.3</v>
      </c>
    </row>
    <row r="4">
      <c r="A4" t="inlineStr">
        <is>
          <t>WAPE máximo para confiabilidad «Alta»</t>
        </is>
      </c>
      <c r="B4" s="10" t="n">
        <v>0.2</v>
      </c>
    </row>
    <row r="5">
      <c r="A5" t="inlineStr">
        <is>
          <t>WAPE máximo para confiabilidad «Media»</t>
        </is>
      </c>
      <c r="B5" s="10" t="n">
        <v>0.4</v>
      </c>
    </row>
    <row r="6">
      <c r="A6" t="inlineStr">
        <is>
          <t>Ventaja mínima del año anterior sobre el modelo (puntos de WAPE)</t>
        </is>
      </c>
      <c r="B6" s="10" t="n">
        <v>0.1</v>
      </c>
    </row>
    <row r="7">
      <c r="A7" t="inlineStr">
        <is>
          <t>WAPE desde el cual se piden lotes pequeños y frecuentes</t>
        </is>
      </c>
      <c r="B7" s="10" t="n">
        <v>0.4</v>
      </c>
    </row>
    <row r="8">
      <c r="A8" t="inlineStr">
        <is>
          <t>Factor de la banda (× WAPE de la marca)</t>
        </is>
      </c>
      <c r="B8" s="10" t="n">
        <v>1</v>
      </c>
    </row>
    <row r="11">
      <c r="A11" s="11" t="inlineStr">
        <is>
          <t>Precio medio por unidad display, 2026 (US$)</t>
        </is>
      </c>
    </row>
    <row r="12" ht="32" customHeight="1">
      <c r="A12" s="3" t="inlineStr">
        <is>
          <t>Marca</t>
        </is>
      </c>
      <c r="B12" s="3" t="inlineStr">
        <is>
          <t>Precio (US$)</t>
        </is>
      </c>
    </row>
    <row r="13">
      <c r="A13" t="inlineStr">
        <is>
          <t>Hanuta</t>
        </is>
      </c>
      <c r="B13" s="10" t="n">
        <v>5.2239</v>
      </c>
    </row>
    <row r="14">
      <c r="A14" t="inlineStr">
        <is>
          <t>Kinder Bueno</t>
        </is>
      </c>
      <c r="B14" s="10" t="n">
        <v>3.2362</v>
      </c>
    </row>
    <row r="15">
      <c r="A15" t="inlineStr">
        <is>
          <t>Kinder Chocolate</t>
        </is>
      </c>
      <c r="B15" s="10" t="n">
        <v>7.2335</v>
      </c>
    </row>
    <row r="16">
      <c r="A16" t="inlineStr">
        <is>
          <t>Kinder Joy</t>
        </is>
      </c>
      <c r="B16" s="10" t="n">
        <v>10.6448</v>
      </c>
    </row>
    <row r="17">
      <c r="A17" t="inlineStr">
        <is>
          <t>Noggy</t>
        </is>
      </c>
      <c r="B17" s="10" t="n">
        <v>2.5871</v>
      </c>
    </row>
    <row r="18">
      <c r="A18" t="inlineStr">
        <is>
          <t>Nutella</t>
        </is>
      </c>
      <c r="B18" s="10" t="n">
        <v>5.0536</v>
      </c>
    </row>
    <row r="19">
      <c r="A19" t="inlineStr">
        <is>
          <t>Raffaello</t>
        </is>
      </c>
      <c r="B19" s="10" t="n">
        <v>4.2254</v>
      </c>
    </row>
    <row r="20">
      <c r="A20" t="inlineStr">
        <is>
          <t>Rocher</t>
        </is>
      </c>
      <c r="B20" s="10" t="n">
        <v>4.8728</v>
      </c>
    </row>
    <row r="21">
      <c r="A21" t="inlineStr">
        <is>
          <t>Tic Tac</t>
        </is>
      </c>
      <c r="B21" s="10" t="n">
        <v>5.2803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2026-10-25T02:54:05Z</dcterms:created>
  <dcterms:modified xmlns:dcterms="http://purl.org/dc/terms/" xmlns:xsi="http://www.w3.org/2001/XMLSchema-instance" xsi:type="dcterms:W3CDTF">2026-10-25T02:54:05Z</dcterms:modified>
</cp:coreProperties>
</file>